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tabRatio="812"/>
  </bookViews>
  <sheets>
    <sheet name="Usevi" sheetId="1" r:id="rId1"/>
    <sheet name="Povrće" sheetId="4" r:id="rId2"/>
    <sheet name="Voće" sheetId="2" r:id="rId3"/>
    <sheet name="Plastenici" sheetId="6" r:id="rId4"/>
    <sheet name="Ostalo" sheetId="3" r:id="rId5"/>
    <sheet name="Zalihe na parceli" sheetId="13" state="hidden" r:id="rId6"/>
    <sheet name="Aromatično i lekovito bilje" sheetId="5" r:id="rId7"/>
    <sheet name="Stočarstvo niži nivo intenz." sheetId="15" r:id="rId8"/>
    <sheet name="Stočarstvo viši nivo intenz." sheetId="14" r:id="rId9"/>
    <sheet name="Priručnik" sheetId="12" r:id="rId10"/>
  </sheets>
  <externalReferences>
    <externalReference r:id="rId11"/>
  </externalReferences>
  <definedNames>
    <definedName name="_xlnm.Print_Area" localSheetId="6">'Aromatično i lekovito bilje'!$A$1:$G$144</definedName>
    <definedName name="_xlnm.Print_Area" localSheetId="4">Ostalo!$A$1:$G$39</definedName>
    <definedName name="_xlnm.Print_Area" localSheetId="1">Povrće!$A$1:$G$696</definedName>
    <definedName name="_xlnm.Print_Area" localSheetId="0">Usevi!$A$1:$G$506</definedName>
    <definedName name="_xlnm.Print_Area" localSheetId="5">'Zalihe na parceli'!$A$1:$AB$64</definedName>
  </definedNames>
  <calcPr calcId="125725"/>
</workbook>
</file>

<file path=xl/calcChain.xml><?xml version="1.0" encoding="utf-8"?>
<calcChain xmlns="http://schemas.openxmlformats.org/spreadsheetml/2006/main">
  <c r="K83" i="14"/>
  <c r="K37"/>
  <c r="C49"/>
  <c r="C48"/>
  <c r="C47"/>
  <c r="C46"/>
  <c r="C45"/>
  <c r="C44"/>
  <c r="C43"/>
  <c r="C42"/>
  <c r="C41"/>
  <c r="C40"/>
  <c r="K20"/>
  <c r="E20"/>
  <c r="C23" s="1"/>
  <c r="C17"/>
  <c r="C16"/>
  <c r="C15"/>
  <c r="C14"/>
  <c r="C13"/>
  <c r="C32" l="1"/>
  <c r="C34"/>
  <c r="C33"/>
  <c r="C35"/>
  <c r="E116"/>
  <c r="E115"/>
  <c r="E114"/>
  <c r="E113"/>
  <c r="E117" s="1"/>
  <c r="D108"/>
  <c r="C108"/>
  <c r="E108" s="1"/>
  <c r="D107"/>
  <c r="C107"/>
  <c r="E107" s="1"/>
  <c r="D106"/>
  <c r="C106"/>
  <c r="E106" s="1"/>
  <c r="E105"/>
  <c r="E104"/>
  <c r="D103"/>
  <c r="C103"/>
  <c r="E103" s="1"/>
  <c r="D102"/>
  <c r="C102"/>
  <c r="E102" s="1"/>
  <c r="D101"/>
  <c r="C101"/>
  <c r="E101" s="1"/>
  <c r="D100"/>
  <c r="C100"/>
  <c r="E100" s="1"/>
  <c r="D99"/>
  <c r="C99"/>
  <c r="E99" s="1"/>
  <c r="D98"/>
  <c r="C98"/>
  <c r="E98" s="1"/>
  <c r="D97"/>
  <c r="C97"/>
  <c r="E97" s="1"/>
  <c r="D96"/>
  <c r="C96"/>
  <c r="E96" s="1"/>
  <c r="H93"/>
  <c r="B93"/>
  <c r="C92"/>
  <c r="C91"/>
  <c r="C90"/>
  <c r="C89"/>
  <c r="C88"/>
  <c r="C87"/>
  <c r="C86"/>
  <c r="K84"/>
  <c r="E84"/>
  <c r="I92"/>
  <c r="H83"/>
  <c r="B83"/>
  <c r="H82"/>
  <c r="B82"/>
  <c r="I81"/>
  <c r="C81"/>
  <c r="I80"/>
  <c r="C80"/>
  <c r="I79"/>
  <c r="C79"/>
  <c r="I78"/>
  <c r="C78"/>
  <c r="I77"/>
  <c r="C77"/>
  <c r="I76"/>
  <c r="C76"/>
  <c r="I75"/>
  <c r="C75"/>
  <c r="I74"/>
  <c r="C74"/>
  <c r="I73"/>
  <c r="C73"/>
  <c r="I72"/>
  <c r="C72"/>
  <c r="I71"/>
  <c r="C71"/>
  <c r="I70"/>
  <c r="C70"/>
  <c r="K68"/>
  <c r="E68"/>
  <c r="H67"/>
  <c r="B67"/>
  <c r="H66"/>
  <c r="B66"/>
  <c r="I65"/>
  <c r="C65"/>
  <c r="I64"/>
  <c r="C64"/>
  <c r="I63"/>
  <c r="C63"/>
  <c r="I62"/>
  <c r="C62"/>
  <c r="I61"/>
  <c r="C61"/>
  <c r="I60"/>
  <c r="C60"/>
  <c r="I59"/>
  <c r="C59"/>
  <c r="I58"/>
  <c r="C58"/>
  <c r="I57"/>
  <c r="C57"/>
  <c r="I56"/>
  <c r="C56"/>
  <c r="I55"/>
  <c r="C55"/>
  <c r="I54"/>
  <c r="C54"/>
  <c r="K52"/>
  <c r="E52"/>
  <c r="H50"/>
  <c r="B50"/>
  <c r="K38"/>
  <c r="E38"/>
  <c r="I49"/>
  <c r="B37"/>
  <c r="B36"/>
  <c r="H35"/>
  <c r="K21"/>
  <c r="E21"/>
  <c r="I34"/>
  <c r="F110" s="1"/>
  <c r="I110" s="1"/>
  <c r="H19"/>
  <c r="B19"/>
  <c r="H18"/>
  <c r="B18"/>
  <c r="I17"/>
  <c r="F108" s="1"/>
  <c r="I16"/>
  <c r="I15"/>
  <c r="I14"/>
  <c r="I13"/>
  <c r="I12"/>
  <c r="C12"/>
  <c r="I11"/>
  <c r="C11"/>
  <c r="I10"/>
  <c r="C10"/>
  <c r="I9"/>
  <c r="C9"/>
  <c r="I8"/>
  <c r="C8"/>
  <c r="I7"/>
  <c r="C7"/>
  <c r="I6"/>
  <c r="C6"/>
  <c r="I5"/>
  <c r="C5"/>
  <c r="I4"/>
  <c r="C4"/>
  <c r="K2"/>
  <c r="E2"/>
  <c r="E116" i="15"/>
  <c r="E115"/>
  <c r="E114"/>
  <c r="E113"/>
  <c r="E117" s="1"/>
  <c r="D108"/>
  <c r="C108"/>
  <c r="E108" s="1"/>
  <c r="D107"/>
  <c r="C107"/>
  <c r="E107" s="1"/>
  <c r="D106"/>
  <c r="C106"/>
  <c r="E106" s="1"/>
  <c r="E105"/>
  <c r="E104"/>
  <c r="D103"/>
  <c r="C103"/>
  <c r="E103" s="1"/>
  <c r="D102"/>
  <c r="C102"/>
  <c r="E102" s="1"/>
  <c r="D101"/>
  <c r="C101"/>
  <c r="E101" s="1"/>
  <c r="D100"/>
  <c r="C100"/>
  <c r="E100" s="1"/>
  <c r="D99"/>
  <c r="C99"/>
  <c r="E99" s="1"/>
  <c r="D98"/>
  <c r="C98"/>
  <c r="E98" s="1"/>
  <c r="D97"/>
  <c r="C97"/>
  <c r="E97" s="1"/>
  <c r="D96"/>
  <c r="C96"/>
  <c r="E96" s="1"/>
  <c r="H93"/>
  <c r="B93"/>
  <c r="C92"/>
  <c r="C91"/>
  <c r="C90"/>
  <c r="C89"/>
  <c r="C88"/>
  <c r="C87"/>
  <c r="C86"/>
  <c r="K84"/>
  <c r="E84"/>
  <c r="K83"/>
  <c r="I92" s="1"/>
  <c r="H83"/>
  <c r="B83"/>
  <c r="H82"/>
  <c r="B82"/>
  <c r="I81"/>
  <c r="C81"/>
  <c r="I80"/>
  <c r="C80"/>
  <c r="I79"/>
  <c r="C79"/>
  <c r="I78"/>
  <c r="C78"/>
  <c r="I77"/>
  <c r="C77"/>
  <c r="I76"/>
  <c r="C76"/>
  <c r="I75"/>
  <c r="C75"/>
  <c r="I74"/>
  <c r="C74"/>
  <c r="I73"/>
  <c r="C73"/>
  <c r="I72"/>
  <c r="C72"/>
  <c r="I71"/>
  <c r="C71"/>
  <c r="I70"/>
  <c r="C70"/>
  <c r="K68"/>
  <c r="E68"/>
  <c r="H67"/>
  <c r="B67"/>
  <c r="H66"/>
  <c r="B66"/>
  <c r="I65"/>
  <c r="C65"/>
  <c r="I64"/>
  <c r="C64"/>
  <c r="I63"/>
  <c r="C63"/>
  <c r="I62"/>
  <c r="C62"/>
  <c r="I61"/>
  <c r="C61"/>
  <c r="I60"/>
  <c r="C60"/>
  <c r="I59"/>
  <c r="C59"/>
  <c r="I58"/>
  <c r="C58"/>
  <c r="I57"/>
  <c r="C57"/>
  <c r="I56"/>
  <c r="C56"/>
  <c r="I55"/>
  <c r="C55"/>
  <c r="I54"/>
  <c r="C54"/>
  <c r="K52"/>
  <c r="E52"/>
  <c r="H50"/>
  <c r="B50"/>
  <c r="C49"/>
  <c r="C48"/>
  <c r="C47"/>
  <c r="C46"/>
  <c r="C45"/>
  <c r="C44"/>
  <c r="C43"/>
  <c r="C42"/>
  <c r="C41"/>
  <c r="C40"/>
  <c r="K38"/>
  <c r="E38"/>
  <c r="K37"/>
  <c r="I49" s="1"/>
  <c r="B37"/>
  <c r="B36"/>
  <c r="H35"/>
  <c r="K21"/>
  <c r="E21"/>
  <c r="K20"/>
  <c r="I34" s="1"/>
  <c r="E20"/>
  <c r="C35" s="1"/>
  <c r="H19"/>
  <c r="B19"/>
  <c r="H18"/>
  <c r="B18"/>
  <c r="I17"/>
  <c r="C17"/>
  <c r="F108" s="1"/>
  <c r="I16"/>
  <c r="C16"/>
  <c r="I15"/>
  <c r="C15"/>
  <c r="I14"/>
  <c r="C14"/>
  <c r="I13"/>
  <c r="C13"/>
  <c r="I12"/>
  <c r="C12"/>
  <c r="I11"/>
  <c r="C11"/>
  <c r="I10"/>
  <c r="C10"/>
  <c r="I9"/>
  <c r="C9"/>
  <c r="I8"/>
  <c r="C8"/>
  <c r="I7"/>
  <c r="C7"/>
  <c r="I6"/>
  <c r="C6"/>
  <c r="I5"/>
  <c r="C5"/>
  <c r="I4"/>
  <c r="C4"/>
  <c r="K2"/>
  <c r="E2"/>
  <c r="F110" l="1"/>
  <c r="I110" s="1"/>
  <c r="F111" i="14"/>
  <c r="I111" s="1"/>
  <c r="G108"/>
  <c r="C24"/>
  <c r="C25"/>
  <c r="C26"/>
  <c r="C27"/>
  <c r="C28"/>
  <c r="C29"/>
  <c r="C30"/>
  <c r="C31"/>
  <c r="F109" s="1"/>
  <c r="I109" s="1"/>
  <c r="F106"/>
  <c r="G106" s="1"/>
  <c r="F105"/>
  <c r="G105" s="1"/>
  <c r="F107"/>
  <c r="G107" s="1"/>
  <c r="I40"/>
  <c r="I41"/>
  <c r="I42"/>
  <c r="I43"/>
  <c r="I44"/>
  <c r="I45"/>
  <c r="I46"/>
  <c r="I47"/>
  <c r="I48"/>
  <c r="I23"/>
  <c r="I24"/>
  <c r="I25"/>
  <c r="I26"/>
  <c r="F99" s="1"/>
  <c r="G99" s="1"/>
  <c r="I27"/>
  <c r="I28"/>
  <c r="I29"/>
  <c r="I30"/>
  <c r="I31"/>
  <c r="I32"/>
  <c r="I33"/>
  <c r="I86"/>
  <c r="I87"/>
  <c r="I88"/>
  <c r="I89"/>
  <c r="I90"/>
  <c r="I91"/>
  <c r="F111" i="15"/>
  <c r="I111" s="1"/>
  <c r="G108"/>
  <c r="C23"/>
  <c r="C24"/>
  <c r="C25"/>
  <c r="C26"/>
  <c r="C27"/>
  <c r="C28"/>
  <c r="C29"/>
  <c r="C30"/>
  <c r="C31"/>
  <c r="F109" s="1"/>
  <c r="I109" s="1"/>
  <c r="C32"/>
  <c r="F106" s="1"/>
  <c r="G106" s="1"/>
  <c r="C33"/>
  <c r="F105" s="1"/>
  <c r="G105" s="1"/>
  <c r="C34"/>
  <c r="F107" s="1"/>
  <c r="G107" s="1"/>
  <c r="I40"/>
  <c r="I41"/>
  <c r="I42"/>
  <c r="I43"/>
  <c r="I44"/>
  <c r="I45"/>
  <c r="I46"/>
  <c r="I47"/>
  <c r="I48"/>
  <c r="I23"/>
  <c r="I24"/>
  <c r="I25"/>
  <c r="I26"/>
  <c r="F99" s="1"/>
  <c r="G99" s="1"/>
  <c r="I27"/>
  <c r="I28"/>
  <c r="I29"/>
  <c r="I30"/>
  <c r="I31"/>
  <c r="I32"/>
  <c r="I33"/>
  <c r="I86"/>
  <c r="I87"/>
  <c r="I88"/>
  <c r="I89"/>
  <c r="I90"/>
  <c r="I91"/>
  <c r="F101" l="1"/>
  <c r="G101" s="1"/>
  <c r="F97"/>
  <c r="G97" s="1"/>
  <c r="F101" i="14"/>
  <c r="G101" s="1"/>
  <c r="F97"/>
  <c r="G97" s="1"/>
  <c r="K97" s="1"/>
  <c r="F102" i="15"/>
  <c r="G102" s="1"/>
  <c r="F104"/>
  <c r="G104" s="1"/>
  <c r="F100"/>
  <c r="G100" s="1"/>
  <c r="K100" s="1"/>
  <c r="F98"/>
  <c r="G98" s="1"/>
  <c r="K98" s="1"/>
  <c r="F96"/>
  <c r="G96" s="1"/>
  <c r="F103"/>
  <c r="G103" s="1"/>
  <c r="F104" i="14"/>
  <c r="G104" s="1"/>
  <c r="I104" s="1"/>
  <c r="F100"/>
  <c r="G100" s="1"/>
  <c r="I100" s="1"/>
  <c r="F98"/>
  <c r="G98" s="1"/>
  <c r="F96"/>
  <c r="G96" s="1"/>
  <c r="F103"/>
  <c r="G103" s="1"/>
  <c r="I103" s="1"/>
  <c r="F102"/>
  <c r="G102" s="1"/>
  <c r="I102" s="1"/>
  <c r="K101"/>
  <c r="I101"/>
  <c r="K99"/>
  <c r="I99"/>
  <c r="I97"/>
  <c r="K105"/>
  <c r="I105"/>
  <c r="I98"/>
  <c r="K98"/>
  <c r="I96"/>
  <c r="K96"/>
  <c r="K107"/>
  <c r="I107"/>
  <c r="I106"/>
  <c r="K106"/>
  <c r="K103"/>
  <c r="I108"/>
  <c r="K108"/>
  <c r="K101" i="15"/>
  <c r="I101"/>
  <c r="K99"/>
  <c r="I99"/>
  <c r="K97"/>
  <c r="I97"/>
  <c r="K105"/>
  <c r="I105"/>
  <c r="I102"/>
  <c r="K102"/>
  <c r="I104"/>
  <c r="K104"/>
  <c r="I100"/>
  <c r="I96"/>
  <c r="K96"/>
  <c r="K107"/>
  <c r="I107"/>
  <c r="I106"/>
  <c r="K106"/>
  <c r="K103"/>
  <c r="I103"/>
  <c r="I108"/>
  <c r="K108"/>
  <c r="K100" i="14" l="1"/>
  <c r="I98" i="15"/>
  <c r="K104" i="14"/>
  <c r="K102"/>
  <c r="I114"/>
  <c r="I114" i="15"/>
  <c r="E455" i="2" l="1"/>
  <c r="F442"/>
  <c r="F441"/>
  <c r="F452"/>
  <c r="F451"/>
  <c r="F443" l="1"/>
  <c r="F449"/>
  <c r="F447"/>
  <c r="F448"/>
  <c r="F446"/>
  <c r="F445"/>
  <c r="F433"/>
  <c r="F432"/>
  <c r="F431"/>
  <c r="F430"/>
  <c r="F453"/>
  <c r="F450"/>
  <c r="F444"/>
  <c r="F440"/>
  <c r="F439"/>
  <c r="F438"/>
  <c r="F437"/>
  <c r="F436"/>
  <c r="F435"/>
  <c r="F434"/>
  <c r="E205" i="6"/>
  <c r="F159" i="1"/>
  <c r="F158"/>
  <c r="F90"/>
  <c r="W51" i="13" l="1"/>
  <c r="Y51" s="1"/>
  <c r="C51" s="1"/>
  <c r="E51" s="1"/>
  <c r="G51" s="1"/>
  <c r="F454" i="2"/>
  <c r="AB53" i="13"/>
  <c r="AB52"/>
  <c r="AB51"/>
  <c r="AA53"/>
  <c r="AA52"/>
  <c r="AA63"/>
  <c r="AA62"/>
  <c r="C55"/>
  <c r="C54"/>
  <c r="I51" l="1"/>
  <c r="K51" s="1"/>
  <c r="M51" s="1"/>
  <c r="O51" s="1"/>
  <c r="Q51" s="1"/>
  <c r="G454" i="2"/>
  <c r="K15" i="12"/>
  <c r="E225" i="1"/>
  <c r="E224"/>
  <c r="E371" i="4"/>
  <c r="E290"/>
  <c r="F290" s="1"/>
  <c r="E132"/>
  <c r="E131"/>
  <c r="E102"/>
  <c r="E101"/>
  <c r="E470" i="1"/>
  <c r="E469"/>
  <c r="E426"/>
  <c r="E425"/>
  <c r="F425" s="1"/>
  <c r="E397"/>
  <c r="E396"/>
  <c r="E364"/>
  <c r="E363"/>
  <c r="E86"/>
  <c r="E85"/>
  <c r="E53"/>
  <c r="F53" s="1"/>
  <c r="E52"/>
  <c r="F52" s="1"/>
  <c r="E17"/>
  <c r="E18"/>
  <c r="F262" i="4"/>
  <c r="E502" i="1"/>
  <c r="F500"/>
  <c r="F499"/>
  <c r="F498"/>
  <c r="F497"/>
  <c r="F495"/>
  <c r="F493"/>
  <c r="F491"/>
  <c r="F401"/>
  <c r="F399"/>
  <c r="F368"/>
  <c r="F366"/>
  <c r="F88"/>
  <c r="F57"/>
  <c r="F55"/>
  <c r="F22"/>
  <c r="AB50" i="13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G114" i="6"/>
  <c r="G23"/>
  <c r="E234"/>
  <c r="E233"/>
  <c r="E232"/>
  <c r="E231"/>
  <c r="E230"/>
  <c r="E228"/>
  <c r="E227"/>
  <c r="D226"/>
  <c r="E226" s="1"/>
  <c r="E225"/>
  <c r="E223"/>
  <c r="E222"/>
  <c r="E215"/>
  <c r="E213"/>
  <c r="E212"/>
  <c r="E211"/>
  <c r="E210"/>
  <c r="E209"/>
  <c r="E207"/>
  <c r="E206"/>
  <c r="C203"/>
  <c r="E203" s="1"/>
  <c r="C202"/>
  <c r="E202" s="1"/>
  <c r="E200"/>
  <c r="E199"/>
  <c r="F193"/>
  <c r="G193" s="1"/>
  <c r="F192"/>
  <c r="G192" s="1"/>
  <c r="F191"/>
  <c r="G191" s="1"/>
  <c r="F189"/>
  <c r="G189" s="1"/>
  <c r="F188"/>
  <c r="G188" s="1"/>
  <c r="F187"/>
  <c r="G187" s="1"/>
  <c r="F186"/>
  <c r="G186" s="1"/>
  <c r="F184"/>
  <c r="G184" s="1"/>
  <c r="F183"/>
  <c r="F181"/>
  <c r="F174"/>
  <c r="G174" s="1"/>
  <c r="F173"/>
  <c r="G173" s="1"/>
  <c r="F172"/>
  <c r="G172" s="1"/>
  <c r="F170"/>
  <c r="G170" s="1"/>
  <c r="F169"/>
  <c r="G169" s="1"/>
  <c r="F168"/>
  <c r="G168" s="1"/>
  <c r="F167"/>
  <c r="G167" s="1"/>
  <c r="F165"/>
  <c r="G165" s="1"/>
  <c r="F164"/>
  <c r="F162"/>
  <c r="F155"/>
  <c r="G155" s="1"/>
  <c r="F154"/>
  <c r="G154" s="1"/>
  <c r="F153"/>
  <c r="G153" s="1"/>
  <c r="F151"/>
  <c r="G151" s="1"/>
  <c r="F150"/>
  <c r="G150" s="1"/>
  <c r="F149"/>
  <c r="G149" s="1"/>
  <c r="F148"/>
  <c r="G148" s="1"/>
  <c r="F147"/>
  <c r="G147" s="1"/>
  <c r="F145"/>
  <c r="G145" s="1"/>
  <c r="F144"/>
  <c r="F142"/>
  <c r="F135"/>
  <c r="G135" s="1"/>
  <c r="F134"/>
  <c r="G134" s="1"/>
  <c r="F133"/>
  <c r="G133" s="1"/>
  <c r="F131"/>
  <c r="G131" s="1"/>
  <c r="F130"/>
  <c r="G130" s="1"/>
  <c r="F129"/>
  <c r="G129" s="1"/>
  <c r="F128"/>
  <c r="G128" s="1"/>
  <c r="F127"/>
  <c r="G127" s="1"/>
  <c r="F126"/>
  <c r="G126" s="1"/>
  <c r="F125"/>
  <c r="G125" s="1"/>
  <c r="F124"/>
  <c r="G124" s="1"/>
  <c r="F123"/>
  <c r="G123" s="1"/>
  <c r="F122"/>
  <c r="G122" s="1"/>
  <c r="F121"/>
  <c r="G121" s="1"/>
  <c r="F119"/>
  <c r="G119" s="1"/>
  <c r="F118"/>
  <c r="G118" s="1"/>
  <c r="F117"/>
  <c r="G117" s="1"/>
  <c r="F116"/>
  <c r="F115"/>
  <c r="G115" s="1"/>
  <c r="F113"/>
  <c r="E58" i="13" s="1"/>
  <c r="F106" i="6"/>
  <c r="G106" s="1"/>
  <c r="F105"/>
  <c r="G105" s="1"/>
  <c r="F104"/>
  <c r="G104" s="1"/>
  <c r="F102"/>
  <c r="G102" s="1"/>
  <c r="F101"/>
  <c r="G101" s="1"/>
  <c r="F100"/>
  <c r="G100" s="1"/>
  <c r="F99"/>
  <c r="G99" s="1"/>
  <c r="F98"/>
  <c r="G98" s="1"/>
  <c r="F97"/>
  <c r="G97" s="1"/>
  <c r="F96"/>
  <c r="G96" s="1"/>
  <c r="F95"/>
  <c r="G95" s="1"/>
  <c r="F94"/>
  <c r="G94" s="1"/>
  <c r="F93"/>
  <c r="G93" s="1"/>
  <c r="F92"/>
  <c r="G92" s="1"/>
  <c r="F90"/>
  <c r="G90" s="1"/>
  <c r="F89"/>
  <c r="G89" s="1"/>
  <c r="F88"/>
  <c r="G88" s="1"/>
  <c r="F87"/>
  <c r="F86"/>
  <c r="G86" s="1"/>
  <c r="F84"/>
  <c r="E57" i="13" s="1"/>
  <c r="F77" i="6"/>
  <c r="G77" s="1"/>
  <c r="F76"/>
  <c r="G76" s="1"/>
  <c r="F75"/>
  <c r="G75" s="1"/>
  <c r="F73"/>
  <c r="G73" s="1"/>
  <c r="F72"/>
  <c r="G72" s="1"/>
  <c r="F71"/>
  <c r="G71" s="1"/>
  <c r="F70"/>
  <c r="G70" s="1"/>
  <c r="F69"/>
  <c r="G69" s="1"/>
  <c r="F68"/>
  <c r="G68" s="1"/>
  <c r="F67"/>
  <c r="G67" s="1"/>
  <c r="F66"/>
  <c r="G66" s="1"/>
  <c r="F65"/>
  <c r="G65" s="1"/>
  <c r="F63"/>
  <c r="G63" s="1"/>
  <c r="F62"/>
  <c r="G62" s="1"/>
  <c r="F61"/>
  <c r="G61" s="1"/>
  <c r="F60"/>
  <c r="F59"/>
  <c r="G59" s="1"/>
  <c r="F57"/>
  <c r="F50"/>
  <c r="G50" s="1"/>
  <c r="F49"/>
  <c r="G49" s="1"/>
  <c r="F48"/>
  <c r="G48" s="1"/>
  <c r="F46"/>
  <c r="G46" s="1"/>
  <c r="F45"/>
  <c r="G45" s="1"/>
  <c r="F44"/>
  <c r="G44" s="1"/>
  <c r="F43"/>
  <c r="G43" s="1"/>
  <c r="F42"/>
  <c r="G42" s="1"/>
  <c r="F41"/>
  <c r="G41" s="1"/>
  <c r="F40"/>
  <c r="G40" s="1"/>
  <c r="F39"/>
  <c r="G39" s="1"/>
  <c r="F38"/>
  <c r="G38" s="1"/>
  <c r="F36"/>
  <c r="G36" s="1"/>
  <c r="F35"/>
  <c r="G35" s="1"/>
  <c r="F34"/>
  <c r="G34" s="1"/>
  <c r="F33"/>
  <c r="F32"/>
  <c r="G32" s="1"/>
  <c r="F30"/>
  <c r="E55" i="13" s="1"/>
  <c r="F22" i="6"/>
  <c r="G22" s="1"/>
  <c r="F21"/>
  <c r="G21" s="1"/>
  <c r="F19"/>
  <c r="G19" s="1"/>
  <c r="F18"/>
  <c r="G18" s="1"/>
  <c r="F17"/>
  <c r="G17" s="1"/>
  <c r="F16"/>
  <c r="G16" s="1"/>
  <c r="F15"/>
  <c r="G15" s="1"/>
  <c r="F14"/>
  <c r="G14" s="1"/>
  <c r="F13"/>
  <c r="F11"/>
  <c r="G11" s="1"/>
  <c r="F10"/>
  <c r="G10" s="1"/>
  <c r="F9"/>
  <c r="G9" s="1"/>
  <c r="F8"/>
  <c r="F7"/>
  <c r="G7" s="1"/>
  <c r="F5"/>
  <c r="E54" i="13" s="1"/>
  <c r="F135" i="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94"/>
  <c r="F93"/>
  <c r="F92"/>
  <c r="F91"/>
  <c r="F90"/>
  <c r="F89"/>
  <c r="F88"/>
  <c r="F87"/>
  <c r="F86"/>
  <c r="F85"/>
  <c r="F84"/>
  <c r="F83"/>
  <c r="F82"/>
  <c r="F81"/>
  <c r="F80"/>
  <c r="F79"/>
  <c r="F64"/>
  <c r="F63"/>
  <c r="F62"/>
  <c r="F61"/>
  <c r="F58"/>
  <c r="F57"/>
  <c r="F56"/>
  <c r="F55"/>
  <c r="F54"/>
  <c r="F53"/>
  <c r="F52"/>
  <c r="F51"/>
  <c r="F50"/>
  <c r="F49"/>
  <c r="F48"/>
  <c r="F47"/>
  <c r="F46"/>
  <c r="F45"/>
  <c r="F44"/>
  <c r="F43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E137"/>
  <c r="F136"/>
  <c r="G136" s="1"/>
  <c r="E96"/>
  <c r="E60"/>
  <c r="F60" s="1"/>
  <c r="E59"/>
  <c r="E28"/>
  <c r="F33" i="3"/>
  <c r="F32"/>
  <c r="F31"/>
  <c r="F30"/>
  <c r="F29"/>
  <c r="F28"/>
  <c r="F26"/>
  <c r="F25"/>
  <c r="F11"/>
  <c r="F10"/>
  <c r="F9"/>
  <c r="F8"/>
  <c r="F7"/>
  <c r="F6"/>
  <c r="F5"/>
  <c r="E35"/>
  <c r="E13"/>
  <c r="F177" i="2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W42" i="13" s="1"/>
  <c r="Y42" s="1"/>
  <c r="C42" s="1"/>
  <c r="F211" i="2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W43" i="13" s="1"/>
  <c r="Y43" s="1"/>
  <c r="C43" s="1"/>
  <c r="F236" i="2"/>
  <c r="F235"/>
  <c r="F234"/>
  <c r="F233"/>
  <c r="F232"/>
  <c r="F231"/>
  <c r="F230"/>
  <c r="F229"/>
  <c r="F228"/>
  <c r="F227"/>
  <c r="F226"/>
  <c r="F225"/>
  <c r="F224"/>
  <c r="F223"/>
  <c r="W44" i="13" s="1"/>
  <c r="Y44" s="1"/>
  <c r="C44" s="1"/>
  <c r="F277" i="2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W45" i="13" s="1"/>
  <c r="Y45" s="1"/>
  <c r="C45" s="1"/>
  <c r="E45" s="1"/>
  <c r="F307" i="2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68"/>
  <c r="F367"/>
  <c r="F366"/>
  <c r="F365"/>
  <c r="F364"/>
  <c r="F363"/>
  <c r="F362"/>
  <c r="F361"/>
  <c r="F360"/>
  <c r="F359"/>
  <c r="F358"/>
  <c r="F357"/>
  <c r="F356"/>
  <c r="F355"/>
  <c r="F354"/>
  <c r="F393"/>
  <c r="F392"/>
  <c r="F391"/>
  <c r="F390"/>
  <c r="F389"/>
  <c r="F388"/>
  <c r="F387"/>
  <c r="F386"/>
  <c r="F385"/>
  <c r="F384"/>
  <c r="F383"/>
  <c r="F382"/>
  <c r="F381"/>
  <c r="F380"/>
  <c r="W49" i="13" s="1"/>
  <c r="Y49" s="1"/>
  <c r="C49" s="1"/>
  <c r="E49" s="1"/>
  <c r="F130" i="2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W41" i="13" s="1"/>
  <c r="Y41" s="1"/>
  <c r="C41" s="1"/>
  <c r="F80" i="2"/>
  <c r="F79"/>
  <c r="F78"/>
  <c r="F77"/>
  <c r="F76"/>
  <c r="F75"/>
  <c r="F74"/>
  <c r="F73"/>
  <c r="F72"/>
  <c r="F71"/>
  <c r="F70"/>
  <c r="F69"/>
  <c r="F68"/>
  <c r="F67"/>
  <c r="F66"/>
  <c r="F65"/>
  <c r="F64"/>
  <c r="F63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18"/>
  <c r="F17"/>
  <c r="F16"/>
  <c r="F15"/>
  <c r="F14"/>
  <c r="F13"/>
  <c r="F12"/>
  <c r="F11"/>
  <c r="F10"/>
  <c r="F9"/>
  <c r="F8"/>
  <c r="F7"/>
  <c r="F6"/>
  <c r="F5"/>
  <c r="F418"/>
  <c r="F417"/>
  <c r="F416"/>
  <c r="F415"/>
  <c r="F414"/>
  <c r="F413"/>
  <c r="F412"/>
  <c r="F411"/>
  <c r="F410"/>
  <c r="F409"/>
  <c r="F408"/>
  <c r="F407"/>
  <c r="F406"/>
  <c r="F405"/>
  <c r="W50" i="13" s="1"/>
  <c r="Y50" s="1"/>
  <c r="C50" s="1"/>
  <c r="E50" s="1"/>
  <c r="E420" i="2"/>
  <c r="E395"/>
  <c r="E370"/>
  <c r="E344"/>
  <c r="E309"/>
  <c r="E279"/>
  <c r="E238"/>
  <c r="E213"/>
  <c r="E179"/>
  <c r="E132"/>
  <c r="E82"/>
  <c r="E53"/>
  <c r="E20"/>
  <c r="F264" i="4"/>
  <c r="F263"/>
  <c r="F261"/>
  <c r="F260"/>
  <c r="F259"/>
  <c r="F258"/>
  <c r="F257"/>
  <c r="F256"/>
  <c r="F255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13"/>
  <c r="F212"/>
  <c r="F211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77"/>
  <c r="F176"/>
  <c r="F175"/>
  <c r="F174"/>
  <c r="F173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O23" i="13" s="1"/>
  <c r="Q23" s="1"/>
  <c r="F139" i="4"/>
  <c r="F138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08"/>
  <c r="F107"/>
  <c r="F105"/>
  <c r="F104"/>
  <c r="F103"/>
  <c r="F102"/>
  <c r="F101"/>
  <c r="F100"/>
  <c r="F99"/>
  <c r="F98"/>
  <c r="F97"/>
  <c r="F96"/>
  <c r="F95"/>
  <c r="F94"/>
  <c r="F93"/>
  <c r="F92"/>
  <c r="F91"/>
  <c r="F90"/>
  <c r="F89"/>
  <c r="F77"/>
  <c r="F76"/>
  <c r="F75"/>
  <c r="F74"/>
  <c r="F73"/>
  <c r="F72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Q20" i="13" s="1"/>
  <c r="F36" i="4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301"/>
  <c r="F300"/>
  <c r="F297"/>
  <c r="F296"/>
  <c r="F295"/>
  <c r="F294"/>
  <c r="F293"/>
  <c r="F292"/>
  <c r="F291"/>
  <c r="F289"/>
  <c r="F288"/>
  <c r="F287"/>
  <c r="F286"/>
  <c r="F285"/>
  <c r="F284"/>
  <c r="F283"/>
  <c r="F282"/>
  <c r="F281"/>
  <c r="F280"/>
  <c r="F279"/>
  <c r="F278"/>
  <c r="F277"/>
  <c r="F276"/>
  <c r="F335"/>
  <c r="F334"/>
  <c r="F331"/>
  <c r="F330"/>
  <c r="F329"/>
  <c r="F326"/>
  <c r="F325"/>
  <c r="F324"/>
  <c r="F323"/>
  <c r="F322"/>
  <c r="F321"/>
  <c r="F320"/>
  <c r="F319"/>
  <c r="F318"/>
  <c r="F317"/>
  <c r="F316"/>
  <c r="F315"/>
  <c r="F314"/>
  <c r="F313"/>
  <c r="F380"/>
  <c r="F379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407"/>
  <c r="F406"/>
  <c r="F405"/>
  <c r="F404"/>
  <c r="F403"/>
  <c r="F402"/>
  <c r="F401"/>
  <c r="F400"/>
  <c r="F399"/>
  <c r="F398"/>
  <c r="F397"/>
  <c r="F396"/>
  <c r="F395"/>
  <c r="F394"/>
  <c r="F393"/>
  <c r="F392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84"/>
  <c r="F483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520"/>
  <c r="F519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552"/>
  <c r="F551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83"/>
  <c r="F582"/>
  <c r="F581"/>
  <c r="F580"/>
  <c r="F578"/>
  <c r="F576"/>
  <c r="F575"/>
  <c r="F574"/>
  <c r="F573"/>
  <c r="F572"/>
  <c r="F571"/>
  <c r="F570"/>
  <c r="F569"/>
  <c r="F568"/>
  <c r="F567"/>
  <c r="F566"/>
  <c r="F565"/>
  <c r="F564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619" s="1"/>
  <c r="G619" s="1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54" s="1"/>
  <c r="G654" s="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91" s="1"/>
  <c r="G691" s="1"/>
  <c r="F666"/>
  <c r="F665"/>
  <c r="F338" i="1"/>
  <c r="F337"/>
  <c r="F336"/>
  <c r="F335"/>
  <c r="F334"/>
  <c r="F333"/>
  <c r="F332"/>
  <c r="F331"/>
  <c r="F329"/>
  <c r="F328"/>
  <c r="F327"/>
  <c r="F326"/>
  <c r="F325"/>
  <c r="F324"/>
  <c r="F323"/>
  <c r="F322"/>
  <c r="F321"/>
  <c r="F320"/>
  <c r="F319"/>
  <c r="F318"/>
  <c r="F317"/>
  <c r="F316"/>
  <c r="F372"/>
  <c r="F371"/>
  <c r="F370"/>
  <c r="F369"/>
  <c r="F367"/>
  <c r="F365"/>
  <c r="F364"/>
  <c r="F363"/>
  <c r="F362"/>
  <c r="F361"/>
  <c r="F360"/>
  <c r="F359"/>
  <c r="F358"/>
  <c r="F357"/>
  <c r="F356"/>
  <c r="F355"/>
  <c r="F354"/>
  <c r="F353"/>
  <c r="F352"/>
  <c r="F351"/>
  <c r="F373" s="1"/>
  <c r="G373" s="1"/>
  <c r="F405"/>
  <c r="F404"/>
  <c r="F403"/>
  <c r="F402"/>
  <c r="F400"/>
  <c r="F398"/>
  <c r="F397"/>
  <c r="F396"/>
  <c r="F395"/>
  <c r="F394"/>
  <c r="F393"/>
  <c r="F392"/>
  <c r="F391"/>
  <c r="F390"/>
  <c r="F389"/>
  <c r="F388"/>
  <c r="F387"/>
  <c r="F386"/>
  <c r="F385"/>
  <c r="F384"/>
  <c r="F433"/>
  <c r="F432"/>
  <c r="F431"/>
  <c r="F430"/>
  <c r="F429"/>
  <c r="F428"/>
  <c r="F427"/>
  <c r="F426"/>
  <c r="F424"/>
  <c r="F423"/>
  <c r="F422"/>
  <c r="F421"/>
  <c r="F420"/>
  <c r="F419"/>
  <c r="F418"/>
  <c r="F417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304" s="1"/>
  <c r="G304" s="1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76" s="1"/>
  <c r="G276" s="1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198"/>
  <c r="F197"/>
  <c r="F196"/>
  <c r="F195"/>
  <c r="F194"/>
  <c r="F193"/>
  <c r="F192"/>
  <c r="F191"/>
  <c r="F190"/>
  <c r="F189"/>
  <c r="F186"/>
  <c r="F185"/>
  <c r="F184"/>
  <c r="F183"/>
  <c r="F182"/>
  <c r="F181"/>
  <c r="F180"/>
  <c r="F179"/>
  <c r="F165"/>
  <c r="F164"/>
  <c r="F163"/>
  <c r="F162"/>
  <c r="F161"/>
  <c r="F160"/>
  <c r="F157"/>
  <c r="F156"/>
  <c r="F155"/>
  <c r="F152"/>
  <c r="F151"/>
  <c r="F150"/>
  <c r="F149"/>
  <c r="F148"/>
  <c r="F147"/>
  <c r="F146"/>
  <c r="F145"/>
  <c r="F144"/>
  <c r="F143"/>
  <c r="F142"/>
  <c r="F130"/>
  <c r="F129"/>
  <c r="F128"/>
  <c r="F127"/>
  <c r="F126"/>
  <c r="F125"/>
  <c r="F124"/>
  <c r="F123"/>
  <c r="F122"/>
  <c r="F121"/>
  <c r="F120"/>
  <c r="F117"/>
  <c r="F116"/>
  <c r="F115"/>
  <c r="F114"/>
  <c r="F113"/>
  <c r="F112"/>
  <c r="F111"/>
  <c r="F110"/>
  <c r="F109"/>
  <c r="F108"/>
  <c r="F107"/>
  <c r="F94"/>
  <c r="F93"/>
  <c r="F92"/>
  <c r="F91"/>
  <c r="F89"/>
  <c r="F87"/>
  <c r="F86"/>
  <c r="F85"/>
  <c r="F84"/>
  <c r="F83"/>
  <c r="F82"/>
  <c r="F81"/>
  <c r="F80"/>
  <c r="F79"/>
  <c r="F78"/>
  <c r="F77"/>
  <c r="F76"/>
  <c r="F75"/>
  <c r="F74"/>
  <c r="F73"/>
  <c r="F61"/>
  <c r="F60"/>
  <c r="F59"/>
  <c r="F58"/>
  <c r="F56"/>
  <c r="F54"/>
  <c r="F51"/>
  <c r="F50"/>
  <c r="F49"/>
  <c r="F48"/>
  <c r="F47"/>
  <c r="F46"/>
  <c r="F45"/>
  <c r="F44"/>
  <c r="F43"/>
  <c r="F42"/>
  <c r="F41"/>
  <c r="F40"/>
  <c r="F26"/>
  <c r="F25"/>
  <c r="F24"/>
  <c r="F23"/>
  <c r="F21"/>
  <c r="F20"/>
  <c r="F19"/>
  <c r="F18"/>
  <c r="F17"/>
  <c r="F16"/>
  <c r="F15"/>
  <c r="F14"/>
  <c r="F13"/>
  <c r="F12"/>
  <c r="F11"/>
  <c r="F10"/>
  <c r="F9"/>
  <c r="F8"/>
  <c r="F7"/>
  <c r="F6"/>
  <c r="F5"/>
  <c r="E692" i="4"/>
  <c r="E655"/>
  <c r="E620"/>
  <c r="E579"/>
  <c r="F579" s="1"/>
  <c r="E577"/>
  <c r="E550"/>
  <c r="E554" s="1"/>
  <c r="E518"/>
  <c r="E522" s="1"/>
  <c r="E482"/>
  <c r="E486" s="1"/>
  <c r="E450"/>
  <c r="E409"/>
  <c r="E378"/>
  <c r="E333"/>
  <c r="F333" s="1"/>
  <c r="E332"/>
  <c r="F332" s="1"/>
  <c r="E328"/>
  <c r="F328" s="1"/>
  <c r="E327"/>
  <c r="E299"/>
  <c r="F299" s="1"/>
  <c r="E298"/>
  <c r="E254"/>
  <c r="E266" s="1"/>
  <c r="E210"/>
  <c r="E215" s="1"/>
  <c r="E172"/>
  <c r="E179" s="1"/>
  <c r="E137"/>
  <c r="E141" s="1"/>
  <c r="E106"/>
  <c r="E110" s="1"/>
  <c r="E71"/>
  <c r="F71" s="1"/>
  <c r="E70"/>
  <c r="E79" s="1"/>
  <c r="E38"/>
  <c r="E479" i="1"/>
  <c r="E407"/>
  <c r="E374"/>
  <c r="E340"/>
  <c r="E330"/>
  <c r="F330" s="1"/>
  <c r="E305"/>
  <c r="E277"/>
  <c r="E237"/>
  <c r="E188"/>
  <c r="F188" s="1"/>
  <c r="E187"/>
  <c r="E200" s="1"/>
  <c r="E154"/>
  <c r="F154" s="1"/>
  <c r="E153"/>
  <c r="E167" s="1"/>
  <c r="E119"/>
  <c r="F119" s="1"/>
  <c r="E118"/>
  <c r="E132" s="1"/>
  <c r="E96"/>
  <c r="E63"/>
  <c r="E28"/>
  <c r="F434" l="1"/>
  <c r="G434" s="1"/>
  <c r="E303" i="4"/>
  <c r="F27" i="1"/>
  <c r="AB64" i="13"/>
  <c r="AA51"/>
  <c r="E435" i="1"/>
  <c r="E382" i="4"/>
  <c r="E337"/>
  <c r="F406" i="1"/>
  <c r="G406" s="1"/>
  <c r="F12" i="3"/>
  <c r="G12" s="1"/>
  <c r="F37" i="4"/>
  <c r="G37" s="1"/>
  <c r="F339" i="1"/>
  <c r="G339" s="1"/>
  <c r="F95" i="5"/>
  <c r="G95" s="1"/>
  <c r="F408" i="4"/>
  <c r="G408" s="1"/>
  <c r="F81" i="2"/>
  <c r="G81" s="1"/>
  <c r="F131"/>
  <c r="G131" s="1"/>
  <c r="F178"/>
  <c r="G178" s="1"/>
  <c r="F212"/>
  <c r="G212" s="1"/>
  <c r="F237"/>
  <c r="G237" s="1"/>
  <c r="F394"/>
  <c r="G394" s="1"/>
  <c r="O26" i="13"/>
  <c r="Q26" s="1"/>
  <c r="S26" s="1"/>
  <c r="U26" s="1"/>
  <c r="O24"/>
  <c r="Q24" s="1"/>
  <c r="S24" s="1"/>
  <c r="U24" s="1"/>
  <c r="S23"/>
  <c r="U23" s="1"/>
  <c r="S20"/>
  <c r="U20" s="1"/>
  <c r="W20" s="1"/>
  <c r="Y20" s="1"/>
  <c r="C20" s="1"/>
  <c r="E20" s="1"/>
  <c r="G20" s="1"/>
  <c r="I20" s="1"/>
  <c r="S19"/>
  <c r="U19" s="1"/>
  <c r="F419" i="2"/>
  <c r="G419" s="1"/>
  <c r="U35" i="13"/>
  <c r="F449" i="4"/>
  <c r="G449" s="1"/>
  <c r="Q30" i="13"/>
  <c r="S30" s="1"/>
  <c r="U30" s="1"/>
  <c r="W30" s="1"/>
  <c r="Y30" s="1"/>
  <c r="C30" s="1"/>
  <c r="E30" s="1"/>
  <c r="G30" s="1"/>
  <c r="I30" s="1"/>
  <c r="K30" s="1"/>
  <c r="M30" s="1"/>
  <c r="O30" s="1"/>
  <c r="AA30" s="1"/>
  <c r="Q28"/>
  <c r="S28" s="1"/>
  <c r="U28" s="1"/>
  <c r="U11"/>
  <c r="U10"/>
  <c r="S8"/>
  <c r="U8" s="1"/>
  <c r="W8" s="1"/>
  <c r="Y8" s="1"/>
  <c r="C8" s="1"/>
  <c r="E8" s="1"/>
  <c r="G8" s="1"/>
  <c r="U7"/>
  <c r="U36"/>
  <c r="F78" i="6"/>
  <c r="H78" s="1"/>
  <c r="K20" i="12" s="1"/>
  <c r="E56" i="13"/>
  <c r="G56" s="1"/>
  <c r="E585" i="4"/>
  <c r="F95" i="1"/>
  <c r="G95" s="1"/>
  <c r="F34" i="3"/>
  <c r="G34" s="1"/>
  <c r="E66" i="5"/>
  <c r="F136" i="6"/>
  <c r="H136" s="1"/>
  <c r="K22" i="12" s="1"/>
  <c r="E235" i="6"/>
  <c r="E236" s="1"/>
  <c r="E216"/>
  <c r="E217" s="1"/>
  <c r="F107"/>
  <c r="H107" s="1"/>
  <c r="K21" i="12" s="1"/>
  <c r="F51" i="6"/>
  <c r="H51" s="1"/>
  <c r="K19" i="12" s="1"/>
  <c r="F19" i="2"/>
  <c r="G19" s="1"/>
  <c r="W19" i="13"/>
  <c r="Y19" s="1"/>
  <c r="C19" s="1"/>
  <c r="E19" s="1"/>
  <c r="G19" s="1"/>
  <c r="I19" s="1"/>
  <c r="K19" s="1"/>
  <c r="M19" s="1"/>
  <c r="O19" s="1"/>
  <c r="Q19" s="1"/>
  <c r="U21"/>
  <c r="W21" s="1"/>
  <c r="Y21" s="1"/>
  <c r="C21" s="1"/>
  <c r="E21" s="1"/>
  <c r="G21" s="1"/>
  <c r="U22"/>
  <c r="W22" s="1"/>
  <c r="Y22" s="1"/>
  <c r="C22" s="1"/>
  <c r="E22" s="1"/>
  <c r="G22" s="1"/>
  <c r="W23"/>
  <c r="Y23" s="1"/>
  <c r="C23" s="1"/>
  <c r="E23" s="1"/>
  <c r="G23" s="1"/>
  <c r="I23" s="1"/>
  <c r="K23" s="1"/>
  <c r="W24"/>
  <c r="Y24" s="1"/>
  <c r="C24" s="1"/>
  <c r="E24" s="1"/>
  <c r="G24" s="1"/>
  <c r="I24" s="1"/>
  <c r="W26"/>
  <c r="Y26" s="1"/>
  <c r="C26" s="1"/>
  <c r="E26" s="1"/>
  <c r="W28"/>
  <c r="Y28" s="1"/>
  <c r="C28" s="1"/>
  <c r="U29"/>
  <c r="W29" s="1"/>
  <c r="Y29" s="1"/>
  <c r="C29" s="1"/>
  <c r="E29" s="1"/>
  <c r="G29" s="1"/>
  <c r="I29" s="1"/>
  <c r="AA29" s="1"/>
  <c r="U31"/>
  <c r="W31" s="1"/>
  <c r="Y31" s="1"/>
  <c r="C31" s="1"/>
  <c r="E31" s="1"/>
  <c r="G31" s="1"/>
  <c r="I31" s="1"/>
  <c r="K31" s="1"/>
  <c r="M31" s="1"/>
  <c r="U34"/>
  <c r="W34" s="1"/>
  <c r="Y34" s="1"/>
  <c r="C34" s="1"/>
  <c r="E34" s="1"/>
  <c r="W36"/>
  <c r="Y36" s="1"/>
  <c r="C36" s="1"/>
  <c r="E36" s="1"/>
  <c r="G36" s="1"/>
  <c r="U37"/>
  <c r="W37" s="1"/>
  <c r="Y37" s="1"/>
  <c r="C37" s="1"/>
  <c r="E37" s="1"/>
  <c r="G37" s="1"/>
  <c r="I37" s="1"/>
  <c r="K37" s="1"/>
  <c r="M37" s="1"/>
  <c r="O37" s="1"/>
  <c r="Q37" s="1"/>
  <c r="S37" s="1"/>
  <c r="AA37" s="1"/>
  <c r="U15"/>
  <c r="W15" s="1"/>
  <c r="Y15" s="1"/>
  <c r="C15" s="1"/>
  <c r="E15" s="1"/>
  <c r="G15" s="1"/>
  <c r="I15" s="1"/>
  <c r="K15" s="1"/>
  <c r="M15" s="1"/>
  <c r="U14"/>
  <c r="W14" s="1"/>
  <c r="Y14" s="1"/>
  <c r="C14" s="1"/>
  <c r="E14" s="1"/>
  <c r="G14" s="1"/>
  <c r="I14" s="1"/>
  <c r="K14" s="1"/>
  <c r="M14" s="1"/>
  <c r="W11"/>
  <c r="Y11" s="1"/>
  <c r="C11" s="1"/>
  <c r="E11" s="1"/>
  <c r="G11" s="1"/>
  <c r="I11" s="1"/>
  <c r="K11" s="1"/>
  <c r="M11" s="1"/>
  <c r="O11" s="1"/>
  <c r="Q11" s="1"/>
  <c r="S11" s="1"/>
  <c r="W10"/>
  <c r="Y10" s="1"/>
  <c r="C10" s="1"/>
  <c r="E10" s="1"/>
  <c r="G10" s="1"/>
  <c r="I10" s="1"/>
  <c r="K10" s="1"/>
  <c r="M10" s="1"/>
  <c r="O10" s="1"/>
  <c r="Q10" s="1"/>
  <c r="S10" s="1"/>
  <c r="W9"/>
  <c r="Y9" s="1"/>
  <c r="C9" s="1"/>
  <c r="W7"/>
  <c r="F62" i="1"/>
  <c r="G62" s="1"/>
  <c r="F27" i="5"/>
  <c r="G27" s="1"/>
  <c r="E41" i="13"/>
  <c r="G41" s="1"/>
  <c r="I41" s="1"/>
  <c r="K41" s="1"/>
  <c r="M41" s="1"/>
  <c r="O41" s="1"/>
  <c r="E42"/>
  <c r="F278" i="2"/>
  <c r="K9" i="12" s="1"/>
  <c r="G49" i="13"/>
  <c r="I49" s="1"/>
  <c r="K49" s="1"/>
  <c r="M49" s="1"/>
  <c r="O49" s="1"/>
  <c r="Q49" s="1"/>
  <c r="S49" s="1"/>
  <c r="G50"/>
  <c r="I50" s="1"/>
  <c r="K50" s="1"/>
  <c r="M50" s="1"/>
  <c r="O50" s="1"/>
  <c r="E38"/>
  <c r="G38" s="1"/>
  <c r="I38" s="1"/>
  <c r="K38" s="1"/>
  <c r="M38" s="1"/>
  <c r="O38" s="1"/>
  <c r="U39"/>
  <c r="W39" s="1"/>
  <c r="Y39" s="1"/>
  <c r="C39" s="1"/>
  <c r="E39" s="1"/>
  <c r="G39" s="1"/>
  <c r="I39" s="1"/>
  <c r="K39" s="1"/>
  <c r="M39" s="1"/>
  <c r="O39" s="1"/>
  <c r="G40"/>
  <c r="I40" s="1"/>
  <c r="K40" s="1"/>
  <c r="M40" s="1"/>
  <c r="O40" s="1"/>
  <c r="Q40" s="1"/>
  <c r="S40" s="1"/>
  <c r="E43"/>
  <c r="G43" s="1"/>
  <c r="I43" s="1"/>
  <c r="K43" s="1"/>
  <c r="M43" s="1"/>
  <c r="O43" s="1"/>
  <c r="Q43" s="1"/>
  <c r="E44"/>
  <c r="G44" s="1"/>
  <c r="I44" s="1"/>
  <c r="K44" s="1"/>
  <c r="M44" s="1"/>
  <c r="O44" s="1"/>
  <c r="S46"/>
  <c r="U46" s="1"/>
  <c r="W46" s="1"/>
  <c r="Y46" s="1"/>
  <c r="C46" s="1"/>
  <c r="E46" s="1"/>
  <c r="G46" s="1"/>
  <c r="U47"/>
  <c r="W47" s="1"/>
  <c r="Y47" s="1"/>
  <c r="C47" s="1"/>
  <c r="E47" s="1"/>
  <c r="U32"/>
  <c r="W32" s="1"/>
  <c r="Y32" s="1"/>
  <c r="C32" s="1"/>
  <c r="E32" s="1"/>
  <c r="G32" s="1"/>
  <c r="I32" s="1"/>
  <c r="K32" s="1"/>
  <c r="M32" s="1"/>
  <c r="F501" i="1"/>
  <c r="D16" i="12" s="1"/>
  <c r="W17" i="13"/>
  <c r="Y17" s="1"/>
  <c r="C17" s="1"/>
  <c r="E17" s="1"/>
  <c r="G17" s="1"/>
  <c r="I17" s="1"/>
  <c r="K17" s="1"/>
  <c r="M17" s="1"/>
  <c r="O17" s="1"/>
  <c r="Q17" s="1"/>
  <c r="S17" s="1"/>
  <c r="U13"/>
  <c r="U4"/>
  <c r="E4" s="1"/>
  <c r="K4" s="1"/>
  <c r="M4" s="1"/>
  <c r="G27" i="1"/>
  <c r="F156" i="6"/>
  <c r="H156" s="1"/>
  <c r="K23" i="12" s="1"/>
  <c r="E59" i="13"/>
  <c r="G59" s="1"/>
  <c r="F175" i="6"/>
  <c r="H175" s="1"/>
  <c r="K24" i="12" s="1"/>
  <c r="E60" i="13"/>
  <c r="G60" s="1"/>
  <c r="F194" i="6"/>
  <c r="H194" s="1"/>
  <c r="K25" i="12" s="1"/>
  <c r="E61" i="13"/>
  <c r="G61" s="1"/>
  <c r="O33"/>
  <c r="E28"/>
  <c r="G28" s="1"/>
  <c r="I28" s="1"/>
  <c r="K28" s="1"/>
  <c r="U12"/>
  <c r="W12" s="1"/>
  <c r="Y12" s="1"/>
  <c r="C12" s="1"/>
  <c r="E12" s="1"/>
  <c r="G12" s="1"/>
  <c r="I12" s="1"/>
  <c r="K12" s="1"/>
  <c r="M12" s="1"/>
  <c r="F478" i="1"/>
  <c r="D15" i="12" s="1"/>
  <c r="O16" i="13"/>
  <c r="Q16" s="1"/>
  <c r="S16" s="1"/>
  <c r="U16" s="1"/>
  <c r="W16" s="1"/>
  <c r="Y16" s="1"/>
  <c r="C16" s="1"/>
  <c r="U18"/>
  <c r="W18" s="1"/>
  <c r="Y18" s="1"/>
  <c r="C18" s="1"/>
  <c r="E18" s="1"/>
  <c r="F52" i="2"/>
  <c r="K28" i="12"/>
  <c r="D29"/>
  <c r="G183" i="6"/>
  <c r="G164"/>
  <c r="G144"/>
  <c r="G116"/>
  <c r="G58" i="13"/>
  <c r="G87" i="6"/>
  <c r="G57" i="13"/>
  <c r="G60" i="6"/>
  <c r="G33"/>
  <c r="G55" i="13"/>
  <c r="I55" s="1"/>
  <c r="K55" s="1"/>
  <c r="G8" i="6"/>
  <c r="G54" i="13"/>
  <c r="K34" i="12"/>
  <c r="K35"/>
  <c r="G13" i="6"/>
  <c r="F24"/>
  <c r="H24" s="1"/>
  <c r="K18" i="12" s="1"/>
  <c r="G48" i="13"/>
  <c r="F369" i="2"/>
  <c r="F343"/>
  <c r="F308"/>
  <c r="G45" i="13"/>
  <c r="K8" i="12"/>
  <c r="G42" i="13"/>
  <c r="I42" s="1"/>
  <c r="K42" s="1"/>
  <c r="M42" s="1"/>
  <c r="O42" s="1"/>
  <c r="Q42" s="1"/>
  <c r="S42" s="1"/>
  <c r="K6" i="12"/>
  <c r="K4"/>
  <c r="AA40" i="13"/>
  <c r="D37" i="12"/>
  <c r="D36"/>
  <c r="D35"/>
  <c r="D30"/>
  <c r="D14"/>
  <c r="D13"/>
  <c r="D12"/>
  <c r="D10"/>
  <c r="D9"/>
  <c r="D4"/>
  <c r="E9" i="13"/>
  <c r="G9" s="1"/>
  <c r="F236" i="1"/>
  <c r="F577" i="4"/>
  <c r="F550"/>
  <c r="F553" s="1"/>
  <c r="F518"/>
  <c r="F521" s="1"/>
  <c r="F482"/>
  <c r="F378"/>
  <c r="F327"/>
  <c r="O27" i="13" s="1"/>
  <c r="Q27" s="1"/>
  <c r="S27" s="1"/>
  <c r="U27" s="1"/>
  <c r="W27" s="1"/>
  <c r="Y27" s="1"/>
  <c r="C27" s="1"/>
  <c r="F298" i="4"/>
  <c r="F302" s="1"/>
  <c r="F70"/>
  <c r="F78" s="1"/>
  <c r="F106"/>
  <c r="F109" s="1"/>
  <c r="F137"/>
  <c r="F172"/>
  <c r="F178" s="1"/>
  <c r="F210"/>
  <c r="F214" s="1"/>
  <c r="F254"/>
  <c r="O25" i="13" s="1"/>
  <c r="Q25" s="1"/>
  <c r="S25" s="1"/>
  <c r="U25" s="1"/>
  <c r="W25" s="1"/>
  <c r="Y25" s="1"/>
  <c r="C25" s="1"/>
  <c r="U5"/>
  <c r="E5" s="1"/>
  <c r="I5" s="1"/>
  <c r="U6"/>
  <c r="E6" s="1"/>
  <c r="K6" s="1"/>
  <c r="M6" s="1"/>
  <c r="G5" i="6"/>
  <c r="G30"/>
  <c r="G181"/>
  <c r="G194" s="1"/>
  <c r="G162"/>
  <c r="G142"/>
  <c r="G156" s="1"/>
  <c r="G113"/>
  <c r="G84"/>
  <c r="G57"/>
  <c r="G78" s="1"/>
  <c r="G24"/>
  <c r="G51"/>
  <c r="G107"/>
  <c r="F59" i="5"/>
  <c r="F65" s="1"/>
  <c r="F118" i="1"/>
  <c r="K7" i="13" s="1"/>
  <c r="M7" s="1"/>
  <c r="F153" i="1"/>
  <c r="K8" i="13" s="1"/>
  <c r="M8" s="1"/>
  <c r="O8" s="1"/>
  <c r="Q8" s="1"/>
  <c r="F187" i="1"/>
  <c r="F199" s="1"/>
  <c r="F265" i="4"/>
  <c r="F381"/>
  <c r="F485"/>
  <c r="F584"/>
  <c r="F131" i="1"/>
  <c r="G136" i="6"/>
  <c r="F166" i="1" l="1"/>
  <c r="G175" i="6"/>
  <c r="D11" i="12"/>
  <c r="D19"/>
  <c r="K29"/>
  <c r="F336" i="4"/>
  <c r="K5" i="12"/>
  <c r="I22" i="13"/>
  <c r="K22" s="1"/>
  <c r="AA22" s="1"/>
  <c r="G478" i="1"/>
  <c r="C4" i="13"/>
  <c r="W4"/>
  <c r="I4"/>
  <c r="Y4"/>
  <c r="G4"/>
  <c r="K13" i="12"/>
  <c r="K7"/>
  <c r="F140" i="4"/>
  <c r="D22" i="12" s="1"/>
  <c r="I21" i="13"/>
  <c r="K21" s="1"/>
  <c r="AA21" s="1"/>
  <c r="K32" i="12"/>
  <c r="K14"/>
  <c r="AA38" i="13"/>
  <c r="K2" i="12"/>
  <c r="G501" i="1"/>
  <c r="D2" i="12"/>
  <c r="Q50" i="13"/>
  <c r="S50" s="1"/>
  <c r="G18"/>
  <c r="I18" s="1"/>
  <c r="K18" s="1"/>
  <c r="M18" s="1"/>
  <c r="G34"/>
  <c r="I34" s="1"/>
  <c r="K34" s="1"/>
  <c r="I36"/>
  <c r="K36" s="1"/>
  <c r="M36" s="1"/>
  <c r="O36" s="1"/>
  <c r="Q36" s="1"/>
  <c r="S36" s="1"/>
  <c r="K24"/>
  <c r="M24" s="1"/>
  <c r="AA24" s="1"/>
  <c r="W5"/>
  <c r="K5"/>
  <c r="M5" s="1"/>
  <c r="D3" i="12"/>
  <c r="Y6" i="13"/>
  <c r="C6"/>
  <c r="W6"/>
  <c r="C5"/>
  <c r="AA43"/>
  <c r="AA19"/>
  <c r="E16"/>
  <c r="G16" s="1"/>
  <c r="I16" s="1"/>
  <c r="K16" s="1"/>
  <c r="M16" s="1"/>
  <c r="AA15"/>
  <c r="AA14"/>
  <c r="AA12"/>
  <c r="G199" i="1"/>
  <c r="D7" i="12"/>
  <c r="G166" i="1"/>
  <c r="D6" i="12"/>
  <c r="I6" i="13"/>
  <c r="G6"/>
  <c r="G5"/>
  <c r="Q41"/>
  <c r="Y5"/>
  <c r="AA11"/>
  <c r="AA42"/>
  <c r="AA44"/>
  <c r="AA49"/>
  <c r="E25"/>
  <c r="G25" s="1"/>
  <c r="I25" s="1"/>
  <c r="K25" s="1"/>
  <c r="M25" s="1"/>
  <c r="D26" i="12"/>
  <c r="G302" i="4"/>
  <c r="M23" i="13"/>
  <c r="AA23" s="1"/>
  <c r="M28"/>
  <c r="O31"/>
  <c r="O32"/>
  <c r="Q33"/>
  <c r="I8"/>
  <c r="AA8" s="1"/>
  <c r="I9"/>
  <c r="K3" i="12"/>
  <c r="G52" i="2"/>
  <c r="I61" i="13"/>
  <c r="K61" s="1"/>
  <c r="M61" s="1"/>
  <c r="I60"/>
  <c r="K60" s="1"/>
  <c r="M60" s="1"/>
  <c r="I59"/>
  <c r="K59" s="1"/>
  <c r="M59" s="1"/>
  <c r="I58"/>
  <c r="K58" s="1"/>
  <c r="M58" s="1"/>
  <c r="O58" s="1"/>
  <c r="Q58" s="1"/>
  <c r="I57"/>
  <c r="K57" s="1"/>
  <c r="M57" s="1"/>
  <c r="O57" s="1"/>
  <c r="Q57" s="1"/>
  <c r="I56"/>
  <c r="K56" s="1"/>
  <c r="M56" s="1"/>
  <c r="O56" s="1"/>
  <c r="Q56" s="1"/>
  <c r="I54"/>
  <c r="K54" s="1"/>
  <c r="M54" s="1"/>
  <c r="O54" s="1"/>
  <c r="Q54" s="1"/>
  <c r="S54" s="1"/>
  <c r="G65" i="5"/>
  <c r="K33" i="12"/>
  <c r="M55" i="13"/>
  <c r="O55" s="1"/>
  <c r="Q55" s="1"/>
  <c r="K12" i="12"/>
  <c r="G369" i="2"/>
  <c r="I48" i="13"/>
  <c r="K48" s="1"/>
  <c r="M48" s="1"/>
  <c r="O48" s="1"/>
  <c r="K11" i="12"/>
  <c r="G343" i="2"/>
  <c r="G47" i="13"/>
  <c r="I47" s="1"/>
  <c r="K47" s="1"/>
  <c r="M47" s="1"/>
  <c r="O47" s="1"/>
  <c r="K10" i="12"/>
  <c r="G308" i="2"/>
  <c r="I46" i="13"/>
  <c r="K46" s="1"/>
  <c r="M46" s="1"/>
  <c r="O46" s="1"/>
  <c r="Q46" s="1"/>
  <c r="G278" i="2"/>
  <c r="I45" i="13"/>
  <c r="K45" s="1"/>
  <c r="M45" s="1"/>
  <c r="O45" s="1"/>
  <c r="Q45" s="1"/>
  <c r="G584" i="4"/>
  <c r="D34" i="12"/>
  <c r="G553" i="4"/>
  <c r="D33" i="12"/>
  <c r="G521" i="4"/>
  <c r="D32" i="12"/>
  <c r="G485" i="4"/>
  <c r="D31" i="12"/>
  <c r="G381" i="4"/>
  <c r="D28" i="12"/>
  <c r="G336" i="4"/>
  <c r="D27" i="12"/>
  <c r="G265" i="4"/>
  <c r="D25" i="12"/>
  <c r="G214" i="4"/>
  <c r="D24" i="12"/>
  <c r="G178" i="4"/>
  <c r="D23" i="12"/>
  <c r="G109" i="4"/>
  <c r="D21" i="12"/>
  <c r="G78" i="4"/>
  <c r="D20" i="12"/>
  <c r="K20" i="13"/>
  <c r="M20" s="1"/>
  <c r="G131" i="1"/>
  <c r="D5" i="12"/>
  <c r="AA39" i="13"/>
  <c r="E27"/>
  <c r="G27" s="1"/>
  <c r="I27" s="1"/>
  <c r="K27" s="1"/>
  <c r="M27" s="1"/>
  <c r="G26"/>
  <c r="I26" s="1"/>
  <c r="K26" s="1"/>
  <c r="M26" s="1"/>
  <c r="D8" i="12"/>
  <c r="G236" i="1"/>
  <c r="O7" i="13"/>
  <c r="Q7" s="1"/>
  <c r="S7" s="1"/>
  <c r="G7"/>
  <c r="G140" i="4" l="1"/>
  <c r="AA4" i="13"/>
  <c r="O18"/>
  <c r="AA18" s="1"/>
  <c r="S41"/>
  <c r="AA41" s="1"/>
  <c r="AA36"/>
  <c r="AA50"/>
  <c r="AA5"/>
  <c r="AA6"/>
  <c r="AA16"/>
  <c r="AA45"/>
  <c r="AA20"/>
  <c r="AA25"/>
  <c r="AA34"/>
  <c r="AA26"/>
  <c r="AA27"/>
  <c r="AA46"/>
  <c r="AA47"/>
  <c r="AA48"/>
  <c r="AA55"/>
  <c r="AA54"/>
  <c r="AA56"/>
  <c r="AA57"/>
  <c r="AA58"/>
  <c r="AA59"/>
  <c r="AA60"/>
  <c r="AA61"/>
  <c r="S33"/>
  <c r="AA33" s="1"/>
  <c r="Q32"/>
  <c r="AA32" s="1"/>
  <c r="Q31"/>
  <c r="AA31" s="1"/>
  <c r="O28"/>
  <c r="AA28" s="1"/>
  <c r="K9"/>
  <c r="M9" s="1"/>
  <c r="O9" s="1"/>
  <c r="Q9" s="1"/>
  <c r="AA17"/>
  <c r="AA10"/>
  <c r="I7"/>
  <c r="C7"/>
  <c r="E7"/>
  <c r="Y7"/>
  <c r="AA9" l="1"/>
  <c r="AA7"/>
  <c r="W13"/>
  <c r="Y13"/>
  <c r="C13" s="1"/>
  <c r="E13" l="1"/>
  <c r="G13" s="1"/>
  <c r="I13" s="1"/>
  <c r="K13" s="1"/>
  <c r="M13" s="1"/>
  <c r="O13" s="1"/>
  <c r="Q13" s="1"/>
  <c r="S13" s="1"/>
  <c r="AA13" l="1"/>
  <c r="W35" l="1"/>
  <c r="Y35" s="1"/>
  <c r="C35" s="1"/>
  <c r="E35" l="1"/>
  <c r="G35" s="1"/>
  <c r="I35" s="1"/>
  <c r="K35" s="1"/>
  <c r="M35" s="1"/>
  <c r="O35" s="1"/>
  <c r="Q35" s="1"/>
  <c r="S35" s="1"/>
  <c r="AA35" l="1"/>
  <c r="AA64" s="1"/>
</calcChain>
</file>

<file path=xl/sharedStrings.xml><?xml version="1.0" encoding="utf-8"?>
<sst xmlns="http://schemas.openxmlformats.org/spreadsheetml/2006/main" count="3901" uniqueCount="756">
  <si>
    <t>JEČAM</t>
  </si>
  <si>
    <t>Obradivo zemljište (ha):</t>
  </si>
  <si>
    <t>OPTIMALNO</t>
  </si>
  <si>
    <t>Tehnološke operacije i korišćeni materijal</t>
  </si>
  <si>
    <t>Operacija u mesecu</t>
  </si>
  <si>
    <t>Trošak po kg ili litru (EUR)</t>
  </si>
  <si>
    <t>Optimalna potrošnja kg ili l/ha</t>
  </si>
  <si>
    <t>Optimalni troškovi tehnoloških operacija/ha (EUR)</t>
  </si>
  <si>
    <t>Transport đubriva</t>
  </si>
  <si>
    <t>X</t>
  </si>
  <si>
    <t>NPK đubrivo 15:15:15</t>
  </si>
  <si>
    <t>Rasipanje mineralnih đubriva</t>
  </si>
  <si>
    <t>Oranje</t>
  </si>
  <si>
    <t>Tanjiranje</t>
  </si>
  <si>
    <t>Drljanje</t>
  </si>
  <si>
    <t>Transport semena</t>
  </si>
  <si>
    <t>Seme</t>
  </si>
  <si>
    <t>Setva</t>
  </si>
  <si>
    <t>II</t>
  </si>
  <si>
    <t>Đubrivo KAN 27% N</t>
  </si>
  <si>
    <t>Transport vode</t>
  </si>
  <si>
    <t>V</t>
  </si>
  <si>
    <t>Zaštita bilja</t>
  </si>
  <si>
    <t>Meteor (herbicid) ili</t>
  </si>
  <si>
    <t>Decis (insekticid)</t>
  </si>
  <si>
    <t>Žetva kombajnom</t>
  </si>
  <si>
    <t>VI-VII</t>
  </si>
  <si>
    <t>Transport ječma</t>
  </si>
  <si>
    <t>Balranje slame (bale)</t>
  </si>
  <si>
    <t>Transport slame</t>
  </si>
  <si>
    <t>UKUPNI TROŠKOVI</t>
  </si>
  <si>
    <t>Potrošnja goriva</t>
  </si>
  <si>
    <t>Komentar:</t>
  </si>
  <si>
    <t>PŠENICA</t>
  </si>
  <si>
    <t>VII</t>
  </si>
  <si>
    <t>Transport pšenice</t>
  </si>
  <si>
    <t>TRITIKAL</t>
  </si>
  <si>
    <t>Transport tritikala</t>
  </si>
  <si>
    <t>KUKURUZ</t>
  </si>
  <si>
    <t>Utovar stajnjaka</t>
  </si>
  <si>
    <t>Transport i rasturanje stajnjaka</t>
  </si>
  <si>
    <t>Zaoravanje strnjike</t>
  </si>
  <si>
    <t>IX</t>
  </si>
  <si>
    <t>XI</t>
  </si>
  <si>
    <t>Predsetvena priprema zemljišta</t>
  </si>
  <si>
    <t>IV</t>
  </si>
  <si>
    <t>Seme (sj)</t>
  </si>
  <si>
    <t>Transport vode - 2 puta</t>
  </si>
  <si>
    <t>Zaštita bilja - 2 puta</t>
  </si>
  <si>
    <t>Merlin (herbicid) ili</t>
  </si>
  <si>
    <t>Acetosav +</t>
  </si>
  <si>
    <t>Đubrivo urea 46% N</t>
  </si>
  <si>
    <t>Međuredno kultiviranje sa đubrenjem</t>
  </si>
  <si>
    <t>Drugo međuredno kultiviranje</t>
  </si>
  <si>
    <t>VI</t>
  </si>
  <si>
    <t>Žetva - branje kukuruza</t>
  </si>
  <si>
    <t>Transport kukuruza</t>
  </si>
  <si>
    <t>SILAŽNI KUKURUZ</t>
  </si>
  <si>
    <t>Žetva kukuruza za silažu</t>
  </si>
  <si>
    <t>Transport zelene mase</t>
  </si>
  <si>
    <t>SUNCOKRET</t>
  </si>
  <si>
    <t>IV,VI</t>
  </si>
  <si>
    <t>Zaštita biljaka - 2 puta</t>
  </si>
  <si>
    <t>Pantera ili</t>
  </si>
  <si>
    <t>Fusilade</t>
  </si>
  <si>
    <t>Đubriva KAN 27% N</t>
  </si>
  <si>
    <t>Žetva suncokreta</t>
  </si>
  <si>
    <t>Transport suncokreta</t>
  </si>
  <si>
    <t>ŠEĆERNA REPA</t>
  </si>
  <si>
    <t>NPK đubrivo 8:16:24</t>
  </si>
  <si>
    <t>III</t>
  </si>
  <si>
    <t>IV-VIII</t>
  </si>
  <si>
    <t>Zaštita bilja - 5 puta</t>
  </si>
  <si>
    <t>Betanal - 2 puta</t>
  </si>
  <si>
    <t>Fusilade - 1 put</t>
  </si>
  <si>
    <t>Nurel - 2 puta</t>
  </si>
  <si>
    <t>Impact ili</t>
  </si>
  <si>
    <t>Prvo međuredno kultiviranje</t>
  </si>
  <si>
    <t>Žetva šećerne repe</t>
  </si>
  <si>
    <t>IX-X</t>
  </si>
  <si>
    <t>Transport šećerne repe</t>
  </si>
  <si>
    <t>SOJA</t>
  </si>
  <si>
    <t xml:space="preserve">Seme </t>
  </si>
  <si>
    <t>Zaštita bilja - herbicidi</t>
  </si>
  <si>
    <t>Afalon</t>
  </si>
  <si>
    <t>Savazon +</t>
  </si>
  <si>
    <t>Harmony ili</t>
  </si>
  <si>
    <t>Deltazon +</t>
  </si>
  <si>
    <t>Žetva soje</t>
  </si>
  <si>
    <t>Transport soje</t>
  </si>
  <si>
    <t>STOČNI GRAŠAK</t>
  </si>
  <si>
    <t>Basagran ili</t>
  </si>
  <si>
    <t>Fusilade - 2. put</t>
  </si>
  <si>
    <t>Transport stočnog graška</t>
  </si>
  <si>
    <t>LUCERKA</t>
  </si>
  <si>
    <t>Zaoravanje strnjike (1/4)</t>
  </si>
  <si>
    <t>VIII</t>
  </si>
  <si>
    <t>Transport đubriva (1/4)</t>
  </si>
  <si>
    <t>NPK đubrivo 15:15:15 (1/4)</t>
  </si>
  <si>
    <t>Rasipanje mineralnih đubriva (1/4)</t>
  </si>
  <si>
    <t>Oranje (1/4)</t>
  </si>
  <si>
    <t>Tanjiranje (1/4)</t>
  </si>
  <si>
    <t>Predsetvena priprema zemljišta (1/4)</t>
  </si>
  <si>
    <t>Seme (1/4)</t>
  </si>
  <si>
    <t>Setva (1/4)</t>
  </si>
  <si>
    <t>Đubrivo KAN 27% N (1/4)</t>
  </si>
  <si>
    <t>Transport vode - 2 puta (1/4)</t>
  </si>
  <si>
    <t>Zaštita bilja - 2 puta (1/4)</t>
  </si>
  <si>
    <t>Decis (1/4) ili</t>
  </si>
  <si>
    <t xml:space="preserve"> </t>
  </si>
  <si>
    <t xml:space="preserve">Košenje </t>
  </si>
  <si>
    <t>V,VI,VII,IX</t>
  </si>
  <si>
    <t>Sakupljanje sena</t>
  </si>
  <si>
    <t>Baliranje sena (bale)</t>
  </si>
  <si>
    <t>Transport sena</t>
  </si>
  <si>
    <t>Zaštita bilja - (postavljanje mamaca)</t>
  </si>
  <si>
    <t>XII-III</t>
  </si>
  <si>
    <t>Cink fosfid (rodencid)</t>
  </si>
  <si>
    <t>RAŽ</t>
  </si>
  <si>
    <t>Transport raži</t>
  </si>
  <si>
    <t>OVAS</t>
  </si>
  <si>
    <t>Transport ovsa</t>
  </si>
  <si>
    <t>ULJANA REPICA</t>
  </si>
  <si>
    <t>VII, X</t>
  </si>
  <si>
    <t>Triflureks (herbicid) - 1. put</t>
  </si>
  <si>
    <t>V-VI</t>
  </si>
  <si>
    <t>Transport uljane repice</t>
  </si>
  <si>
    <t>DUVAN</t>
  </si>
  <si>
    <t>Zaštita bilja (manuelno)</t>
  </si>
  <si>
    <t>II-V</t>
  </si>
  <si>
    <t>Sencor (herbicid)</t>
  </si>
  <si>
    <t>Stomp</t>
  </si>
  <si>
    <t>Transport duvana</t>
  </si>
  <si>
    <t>Sađenje duvana</t>
  </si>
  <si>
    <t>Navodnjavanje</t>
  </si>
  <si>
    <t>Pantera</t>
  </si>
  <si>
    <t>VI,VII</t>
  </si>
  <si>
    <t>Ditan +</t>
  </si>
  <si>
    <t>Navodnjavanje - 2 puta</t>
  </si>
  <si>
    <t>Branje duvana</t>
  </si>
  <si>
    <t>Sušenje duvana</t>
  </si>
  <si>
    <t>KROMPIR</t>
  </si>
  <si>
    <t>Sađenje semena</t>
  </si>
  <si>
    <t>Stomp ili</t>
  </si>
  <si>
    <t>Prometrin</t>
  </si>
  <si>
    <t>Transport vode - 4 puta</t>
  </si>
  <si>
    <t>V-VIII</t>
  </si>
  <si>
    <t>Zaštita bilja - 4 puta</t>
  </si>
  <si>
    <t>Sencor +</t>
  </si>
  <si>
    <t>Confidor - 1. put</t>
  </si>
  <si>
    <t>Confidor +</t>
  </si>
  <si>
    <t>Ridomil - 2. put</t>
  </si>
  <si>
    <t>Ridomil +</t>
  </si>
  <si>
    <t>Confidor - 3. put</t>
  </si>
  <si>
    <t>Equation - 4. put</t>
  </si>
  <si>
    <t>V-VII</t>
  </si>
  <si>
    <t>Vađenje krompira</t>
  </si>
  <si>
    <t>Transport krompira</t>
  </si>
  <si>
    <t>PASULJ</t>
  </si>
  <si>
    <t xml:space="preserve">Savazon + </t>
  </si>
  <si>
    <t>Zaštita biljaka</t>
  </si>
  <si>
    <t>Fusilade (herbicid)</t>
  </si>
  <si>
    <t>Ditan (herbicid) +</t>
  </si>
  <si>
    <t>Decis (insecticid) - 1. put</t>
  </si>
  <si>
    <t>Decis (insecticid) - 2. put</t>
  </si>
  <si>
    <t>Žetva pasulja</t>
  </si>
  <si>
    <t>Transport pasulja</t>
  </si>
  <si>
    <t>ROTKVICA</t>
  </si>
  <si>
    <t>Seme (kg)</t>
  </si>
  <si>
    <t>Međuredno kultiviranje - 2 puta</t>
  </si>
  <si>
    <t>IV-V</t>
  </si>
  <si>
    <t>GRAŠAK</t>
  </si>
  <si>
    <t xml:space="preserve">NPK đubrivo 15:15:15 </t>
  </si>
  <si>
    <t>Drljanje - dva puta</t>
  </si>
  <si>
    <t>Transport vode - 3 puta</t>
  </si>
  <si>
    <t>III, IV</t>
  </si>
  <si>
    <t>Zaštita bilja - 3 puta</t>
  </si>
  <si>
    <t>Stomp - 1. put</t>
  </si>
  <si>
    <t>Fusilade (herbicid) - 2. put</t>
  </si>
  <si>
    <t>Talstar - 3. put</t>
  </si>
  <si>
    <t>Žetva graška</t>
  </si>
  <si>
    <t>Transport graška</t>
  </si>
  <si>
    <t>BORANIJA</t>
  </si>
  <si>
    <t>Površinska obrada zemljišta</t>
  </si>
  <si>
    <t>Ditan (herbicid) - 1. put</t>
  </si>
  <si>
    <t>Decis (insecticid) i</t>
  </si>
  <si>
    <t>Branje boranije</t>
  </si>
  <si>
    <t>Transport boranije</t>
  </si>
  <si>
    <t>CRNI LUK</t>
  </si>
  <si>
    <t>IV,V</t>
  </si>
  <si>
    <t>Actelic - 2 puta</t>
  </si>
  <si>
    <t>Stomp - 1 put</t>
  </si>
  <si>
    <t>Ridomil - 1 put</t>
  </si>
  <si>
    <t>V,VI</t>
  </si>
  <si>
    <t>Vađenje crnog luka</t>
  </si>
  <si>
    <t>Transport crnog luka</t>
  </si>
  <si>
    <t>PAPRIKA</t>
  </si>
  <si>
    <t>Stomp (herbicid)</t>
  </si>
  <si>
    <t>Transport paprike</t>
  </si>
  <si>
    <t>Sađenje paprike</t>
  </si>
  <si>
    <t>Navodnjavanje - 8 puta</t>
  </si>
  <si>
    <t>VI-IX</t>
  </si>
  <si>
    <t>VII-X</t>
  </si>
  <si>
    <t>Equation +</t>
  </si>
  <si>
    <t>Branje paprike</t>
  </si>
  <si>
    <t>KRASTAVAC</t>
  </si>
  <si>
    <t>Zaštita bilja - 6 puta</t>
  </si>
  <si>
    <t>IV-VI</t>
  </si>
  <si>
    <t>Ridomil - 2 puta</t>
  </si>
  <si>
    <t>Equation - 1 put</t>
  </si>
  <si>
    <t>Ditan - 1 put</t>
  </si>
  <si>
    <t>Talstar - 1 put</t>
  </si>
  <si>
    <t>Quadris - 1 put</t>
  </si>
  <si>
    <t>Aktara - 1 put</t>
  </si>
  <si>
    <t>Navodnjavanje - 3 puta</t>
  </si>
  <si>
    <t>Branje krastavca</t>
  </si>
  <si>
    <t>Transport krastavca</t>
  </si>
  <si>
    <t>CVEKLA CRVENA</t>
  </si>
  <si>
    <t>Fusilade  - 1 put</t>
  </si>
  <si>
    <t>Betanal  - 1 put</t>
  </si>
  <si>
    <t>Decis  - 1 put</t>
  </si>
  <si>
    <t>Vađenje cvekle</t>
  </si>
  <si>
    <t>Transport cvekle</t>
  </si>
  <si>
    <t>PARADAJZ</t>
  </si>
  <si>
    <t>Transport paradajza</t>
  </si>
  <si>
    <t>Sađenje paradajza</t>
  </si>
  <si>
    <t>Triflureks ili</t>
  </si>
  <si>
    <t>Sencor</t>
  </si>
  <si>
    <t>Qvadris - 1 put</t>
  </si>
  <si>
    <t>Bakarni oksi hlorid - 1 put</t>
  </si>
  <si>
    <t>Navodnjavanje - 4 puta</t>
  </si>
  <si>
    <t>Branje paradajza</t>
  </si>
  <si>
    <t>VII-VIII</t>
  </si>
  <si>
    <t>SPANAĆ</t>
  </si>
  <si>
    <t>Branje spanaća</t>
  </si>
  <si>
    <t>Transport spanaća</t>
  </si>
  <si>
    <t>LUBENICA</t>
  </si>
  <si>
    <t>Transport lubenica</t>
  </si>
  <si>
    <t>Sađenje lubenice</t>
  </si>
  <si>
    <t>Prestiž (insekticid)</t>
  </si>
  <si>
    <t>Ridomil -1 put</t>
  </si>
  <si>
    <t>Decis - 1 put</t>
  </si>
  <si>
    <t>Branje lubenica</t>
  </si>
  <si>
    <t>KARFIOL</t>
  </si>
  <si>
    <t>Transport karfiola</t>
  </si>
  <si>
    <t>Sađenje karfiola</t>
  </si>
  <si>
    <t>Talstar - 3 puta</t>
  </si>
  <si>
    <t>Ditan -1 put</t>
  </si>
  <si>
    <t>Branje karfiola</t>
  </si>
  <si>
    <t>KUPUS</t>
  </si>
  <si>
    <t>Transport kupusa</t>
  </si>
  <si>
    <t>Sađenje kupusa</t>
  </si>
  <si>
    <t>Sečenje kupusa</t>
  </si>
  <si>
    <t>KUPUS - postrni</t>
  </si>
  <si>
    <t>VIII-IX</t>
  </si>
  <si>
    <t>SALATA</t>
  </si>
  <si>
    <t>Sađenje salate</t>
  </si>
  <si>
    <t>III,IV</t>
  </si>
  <si>
    <t>Međuredno kultiviranje</t>
  </si>
  <si>
    <t>Ditan</t>
  </si>
  <si>
    <t>Teldor</t>
  </si>
  <si>
    <t>Sečenje salate</t>
  </si>
  <si>
    <t>Transport salate</t>
  </si>
  <si>
    <t>ŠARGAREPA</t>
  </si>
  <si>
    <t>Vađenje šargarepe</t>
  </si>
  <si>
    <t>Transport šargarepe</t>
  </si>
  <si>
    <t>PERŠUN</t>
  </si>
  <si>
    <t>Vađenje peršuna</t>
  </si>
  <si>
    <t>Transport peršuna</t>
  </si>
  <si>
    <t>PLAVI PATLIDŽAN</t>
  </si>
  <si>
    <t>Transport plavog patlidžana</t>
  </si>
  <si>
    <t>Sađenje plavog patlidžana</t>
  </si>
  <si>
    <t>Confidor - 2 puta</t>
  </si>
  <si>
    <t>Navodnjavanje - 5 puta</t>
  </si>
  <si>
    <t>VII-IX</t>
  </si>
  <si>
    <t>Branje plavog patlidžana</t>
  </si>
  <si>
    <t>AGROTEHNIKA I TROŠKOVNIK</t>
  </si>
  <si>
    <t>Ukupno</t>
  </si>
  <si>
    <t>ŠLJIVA - ekstenzivan zasad</t>
  </si>
  <si>
    <t>Kultiviranje/košenje - 2 puta</t>
  </si>
  <si>
    <t>IV/VI,VII</t>
  </si>
  <si>
    <t>II-IV</t>
  </si>
  <si>
    <t>Bakarni oksi hlorid +</t>
  </si>
  <si>
    <t>Chorus - 1. put</t>
  </si>
  <si>
    <t>Perfection +</t>
  </si>
  <si>
    <t>Ditan - 2. put</t>
  </si>
  <si>
    <t>Transport šljive</t>
  </si>
  <si>
    <t>ŠLJIVA - intenzivan zasad</t>
  </si>
  <si>
    <t>Međuredno kultiviranje - 4 puta</t>
  </si>
  <si>
    <t>III,IV,VI,VII</t>
  </si>
  <si>
    <t>Transport vode - 7 puta</t>
  </si>
  <si>
    <t>II-X</t>
  </si>
  <si>
    <t>Zaštita bilja - 7 puta</t>
  </si>
  <si>
    <t>Crveno ulje - 1. put</t>
  </si>
  <si>
    <t>Chorus +</t>
  </si>
  <si>
    <t>Kubik - 2. put</t>
  </si>
  <si>
    <t>Perfection - 3. put</t>
  </si>
  <si>
    <t>Nurel - 4. put</t>
  </si>
  <si>
    <t>Decis - 5. put</t>
  </si>
  <si>
    <t>Switch +</t>
  </si>
  <si>
    <t>Decis - 6. put</t>
  </si>
  <si>
    <t>Bakarni oksi hlorid - 7. put</t>
  </si>
  <si>
    <t>JABUKA - ekstenzivan zasad</t>
  </si>
  <si>
    <t>III-VI</t>
  </si>
  <si>
    <t>Bakarni oksi hlorid - 1. put</t>
  </si>
  <si>
    <t>Galmin +</t>
  </si>
  <si>
    <t>Stroby - 4. put</t>
  </si>
  <si>
    <t>Transport jabuka</t>
  </si>
  <si>
    <t>IX, X</t>
  </si>
  <si>
    <t>JABUKA - intenzivan zasad</t>
  </si>
  <si>
    <t>Transport vode - 11 puta</t>
  </si>
  <si>
    <t>II-VIII</t>
  </si>
  <si>
    <t>Zaštita bilja - 11 puta</t>
  </si>
  <si>
    <t>Mineralno ulje - 1. put</t>
  </si>
  <si>
    <t>Nurel - 2. put</t>
  </si>
  <si>
    <t>Stroby +</t>
  </si>
  <si>
    <t>Skore - 3. put</t>
  </si>
  <si>
    <t>Impact - 4.put</t>
  </si>
  <si>
    <t>Ditan - 5. put</t>
  </si>
  <si>
    <t>Nurel +</t>
  </si>
  <si>
    <t>Topas - 6. put</t>
  </si>
  <si>
    <t>Ditan - 7. put</t>
  </si>
  <si>
    <t>Topas +</t>
  </si>
  <si>
    <t>Topas - 8. put</t>
  </si>
  <si>
    <t>Captan +</t>
  </si>
  <si>
    <t>Omite +</t>
  </si>
  <si>
    <t>Ditan - 9. put</t>
  </si>
  <si>
    <t>Previcur energy - 10. put</t>
  </si>
  <si>
    <t xml:space="preserve">Stroby - 11. put </t>
  </si>
  <si>
    <t>KRUŠKA - intenzivan zasad</t>
  </si>
  <si>
    <t>III,V,VI,VII</t>
  </si>
  <si>
    <t>Transport vode - 10 puta</t>
  </si>
  <si>
    <t>Zaštita bilja - 10 puta</t>
  </si>
  <si>
    <t>Galmin - 1. put</t>
  </si>
  <si>
    <t>Impact - 4. put</t>
  </si>
  <si>
    <t xml:space="preserve">Topas - 8. put </t>
  </si>
  <si>
    <t>Stroby - 10. put</t>
  </si>
  <si>
    <t>Transport krušaka</t>
  </si>
  <si>
    <t>BRESKVA</t>
  </si>
  <si>
    <t>Transport vode - 8 puta</t>
  </si>
  <si>
    <t>Zaštita bilja - 8 puta</t>
  </si>
  <si>
    <t>Kumulus +</t>
  </si>
  <si>
    <t>Stroby - 3. put</t>
  </si>
  <si>
    <t>Decis +</t>
  </si>
  <si>
    <t>Aktara - 5. put</t>
  </si>
  <si>
    <t>Previcur energy +</t>
  </si>
  <si>
    <t>Karatan - 6. put</t>
  </si>
  <si>
    <t>Topas - 7. put</t>
  </si>
  <si>
    <t>Switch - 8. put</t>
  </si>
  <si>
    <t>Transport bresaka</t>
  </si>
  <si>
    <t>KAJSIJA</t>
  </si>
  <si>
    <t>Transport kajsija</t>
  </si>
  <si>
    <t>VINOGRAD</t>
  </si>
  <si>
    <t>III-VIII</t>
  </si>
  <si>
    <t>Mikal - 2. put</t>
  </si>
  <si>
    <t>Talstar +</t>
  </si>
  <si>
    <t>Fastak +</t>
  </si>
  <si>
    <t>Mikal - 3. put</t>
  </si>
  <si>
    <t>Ditan - 4. put</t>
  </si>
  <si>
    <t>Teldor +</t>
  </si>
  <si>
    <t>Kuprozin - 6. put</t>
  </si>
  <si>
    <t>Kuprozin - 7. put</t>
  </si>
  <si>
    <t>Transport grožđa</t>
  </si>
  <si>
    <t>MALINA I KUPINA</t>
  </si>
  <si>
    <t>Nurel - 3. put</t>
  </si>
  <si>
    <t>Kuprozin - 5. put</t>
  </si>
  <si>
    <t>Transport proizvoda</t>
  </si>
  <si>
    <t>VI-VIII</t>
  </si>
  <si>
    <t>VIŠNJA</t>
  </si>
  <si>
    <t>Transport vode - 6 puta</t>
  </si>
  <si>
    <t>Kubik +</t>
  </si>
  <si>
    <t>Karatan - 3. put</t>
  </si>
  <si>
    <t>Perfection - 4. put</t>
  </si>
  <si>
    <t>Switch - 5. put</t>
  </si>
  <si>
    <t>Bakarni oksi hlorid - 6. put</t>
  </si>
  <si>
    <t>Transport višanja</t>
  </si>
  <si>
    <t>JAGODA</t>
  </si>
  <si>
    <t>Afalon - 1. put</t>
  </si>
  <si>
    <t>Signum - 2. put</t>
  </si>
  <si>
    <t>Switch - 3. put</t>
  </si>
  <si>
    <t>Actara +</t>
  </si>
  <si>
    <t>Switch - 4. put</t>
  </si>
  <si>
    <t>Transport jagoda</t>
  </si>
  <si>
    <t>DUNJA</t>
  </si>
  <si>
    <t>Kubik - 1. put</t>
  </si>
  <si>
    <t>Transport dunja</t>
  </si>
  <si>
    <t>MUŠMULA</t>
  </si>
  <si>
    <t>Transport mušmula</t>
  </si>
  <si>
    <t>LIVADE</t>
  </si>
  <si>
    <t>Zaštita bilja - rodencidi</t>
  </si>
  <si>
    <t>Košenje - žetva</t>
  </si>
  <si>
    <t>V,VII,IX</t>
  </si>
  <si>
    <t>Sakupljanje</t>
  </si>
  <si>
    <t>Baliranje livadskog sena (bale)</t>
  </si>
  <si>
    <t>Utovar stajnjaka (1/4)</t>
  </si>
  <si>
    <t>Optimalna potrošnja kg ili l/košnice</t>
  </si>
  <si>
    <t>Optimalni troškovi tehnoloških operacija/košnice (EUR)</t>
  </si>
  <si>
    <t>Korišćeni materijali</t>
  </si>
  <si>
    <t>X-XI</t>
  </si>
  <si>
    <t>XII</t>
  </si>
  <si>
    <t>ŠAMPINJONI</t>
  </si>
  <si>
    <t>Kompost sa micelijumom</t>
  </si>
  <si>
    <t>Treset</t>
  </si>
  <si>
    <t>Zaštita šampinjona</t>
  </si>
  <si>
    <t>Miraž</t>
  </si>
  <si>
    <t>Dimilin</t>
  </si>
  <si>
    <t>Nuvan</t>
  </si>
  <si>
    <t>Actelic</t>
  </si>
  <si>
    <t>Transport šampinjona</t>
  </si>
  <si>
    <t>KOMORAČ</t>
  </si>
  <si>
    <t>Zaoravanje strnjike (1/6)</t>
  </si>
  <si>
    <t>Tanjiranje (1/6)</t>
  </si>
  <si>
    <t>Rasipanje min. đ. - 1. god. (1/6)</t>
  </si>
  <si>
    <t>Međ. kultiv. sa đ. - od 2-6. god. (5/6)</t>
  </si>
  <si>
    <t>Oranje (1/6)</t>
  </si>
  <si>
    <t>Predsetvena priprema zemljišta (1/6)</t>
  </si>
  <si>
    <t>III-IV</t>
  </si>
  <si>
    <t>Seme (1/6)</t>
  </si>
  <si>
    <t>Setva (1/6)</t>
  </si>
  <si>
    <t>Zaštita insekticidima</t>
  </si>
  <si>
    <t>KAN 27% N</t>
  </si>
  <si>
    <t>I međuredno kultiviranje sa đubrenjem</t>
  </si>
  <si>
    <t>Transport komorača</t>
  </si>
  <si>
    <t>II međuredno kultiviranje sa đubrenjem</t>
  </si>
  <si>
    <t>NANA (MENTA)</t>
  </si>
  <si>
    <t>Utovar stajnjaka (1/2)</t>
  </si>
  <si>
    <t>Transport i rasturanje stajnjaka (1/2)</t>
  </si>
  <si>
    <t>Zaoravanje strnjike (1/2)</t>
  </si>
  <si>
    <t>Tanjiranje (1/2)</t>
  </si>
  <si>
    <t>Oranje (1/2)</t>
  </si>
  <si>
    <t>Predsetvena priprema zemljišta (1/2)</t>
  </si>
  <si>
    <t>Transport stolona (1/2)</t>
  </si>
  <si>
    <t>Sadnja (1/2)</t>
  </si>
  <si>
    <t>Navodnjavanje (1/2)</t>
  </si>
  <si>
    <t>Transport đubriva - 3 puta</t>
  </si>
  <si>
    <t>V, VI, VII</t>
  </si>
  <si>
    <t>Međuredno kultiviranje sa đ. - 3 puta</t>
  </si>
  <si>
    <t>V,VII</t>
  </si>
  <si>
    <t>Zaštita bilja - 2 puta (lisna rđa)</t>
  </si>
  <si>
    <t>Antracol - 2 puta</t>
  </si>
  <si>
    <t>Košenje - 2 puta</t>
  </si>
  <si>
    <t>VI ,VIII</t>
  </si>
  <si>
    <t>Sakupljanje lisne mase - 2 puta</t>
  </si>
  <si>
    <t>Transport lisne mase - 2 puta</t>
  </si>
  <si>
    <t>KAMILICA</t>
  </si>
  <si>
    <t>Valjanje</t>
  </si>
  <si>
    <t>Zaštita bilja (herbicidi protiv korova)</t>
  </si>
  <si>
    <t>Žetva kamilice</t>
  </si>
  <si>
    <t>Transport kamilice</t>
  </si>
  <si>
    <t>MATIČNJAK</t>
  </si>
  <si>
    <t>Utovar stajnjaka (1/5)</t>
  </si>
  <si>
    <t>Transport i rasturanje stajnjaka (1/5)</t>
  </si>
  <si>
    <t>Zaoravanje strnjike (1/5)</t>
  </si>
  <si>
    <t>Tanjiranje (1/5)</t>
  </si>
  <si>
    <t>Rasipanje min. đubriva - 1. god. (1/5)</t>
  </si>
  <si>
    <t>Međ. kultiv. sa đ. - od 2-5. god. (4/5)</t>
  </si>
  <si>
    <t>Oranje  (1/5)</t>
  </si>
  <si>
    <t>Seme (1/5)</t>
  </si>
  <si>
    <t>Predsetvena priprema zemljišta (1/5)</t>
  </si>
  <si>
    <t>Transport sadnica matičnjaka (1/5)</t>
  </si>
  <si>
    <t>Sadnja (1/5)</t>
  </si>
  <si>
    <t>Navodnjavanje (1/5)</t>
  </si>
  <si>
    <t>Zaštita bilja (herbicidi)</t>
  </si>
  <si>
    <t>II međuredno kultiviranje</t>
  </si>
  <si>
    <t>Tehnološke operacije / korišćeni materijal</t>
  </si>
  <si>
    <t xml:space="preserve">Potrošnja kg ili l /plastenik </t>
  </si>
  <si>
    <t>Trošak po kg ili l (EUR)</t>
  </si>
  <si>
    <t>Ukupni troškovi/plastenik</t>
  </si>
  <si>
    <t>Ukupni troškovi /obradivo zemljište</t>
  </si>
  <si>
    <t>Materijal</t>
  </si>
  <si>
    <t>Đubrivo</t>
  </si>
  <si>
    <t>N:P:K 15:15:15</t>
  </si>
  <si>
    <t>Kemira 15:30:15</t>
  </si>
  <si>
    <t>Kemira 10:15:26</t>
  </si>
  <si>
    <t>Vuksal super</t>
  </si>
  <si>
    <t>Jara kalcinit</t>
  </si>
  <si>
    <t>Pesticidi</t>
  </si>
  <si>
    <t>Equation - 2 puta</t>
  </si>
  <si>
    <t>Rovocid</t>
  </si>
  <si>
    <t>Usluge</t>
  </si>
  <si>
    <t>1. Obrada</t>
  </si>
  <si>
    <t>BROJ STRUKA U PLASTENIKU</t>
  </si>
  <si>
    <t>2. Zaštita (8x)</t>
  </si>
  <si>
    <t>3. Transport</t>
  </si>
  <si>
    <t>TROŠAK PO STRUKU</t>
  </si>
  <si>
    <t>UKUPNO</t>
  </si>
  <si>
    <t>Bakarni oksihlorid - 1 put</t>
  </si>
  <si>
    <t>Aktara +</t>
  </si>
  <si>
    <t>Signum - 1 put</t>
  </si>
  <si>
    <t>Laser - 2 puta</t>
  </si>
  <si>
    <t>2. Zaštita (6x)</t>
  </si>
  <si>
    <t>Previcur energy - 1 put</t>
  </si>
  <si>
    <t>Actelic - 1 put</t>
  </si>
  <si>
    <t>Teldor - 1 put</t>
  </si>
  <si>
    <t>2. Zaštita (3x)</t>
  </si>
  <si>
    <t>KILOGRAMA U PLASTENIKU</t>
  </si>
  <si>
    <t>2. Zaštita (2x)</t>
  </si>
  <si>
    <t>TROŠAK PO KG</t>
  </si>
  <si>
    <t>Aktara - 2 puta</t>
  </si>
  <si>
    <t>PROIZVODNJA IZ LEJA - za proizvodnju paprike i paradajza</t>
  </si>
  <si>
    <t>Količina</t>
  </si>
  <si>
    <t>Cena po
 kg/l (€)</t>
  </si>
  <si>
    <t>Iznos (€)</t>
  </si>
  <si>
    <t>PRIPREMA LEJA</t>
  </si>
  <si>
    <t xml:space="preserve">Obrada zemlje freziranjem </t>
  </si>
  <si>
    <t>Valjanje zemljišta valjkom</t>
  </si>
  <si>
    <t>Dezinfekcija</t>
  </si>
  <si>
    <t>Ditan 3g/m2</t>
  </si>
  <si>
    <t>Rovocid 3g/m2</t>
  </si>
  <si>
    <t xml:space="preserve">SETVA </t>
  </si>
  <si>
    <t xml:space="preserve">Ovakvom setvom dobije se 800 biljaka po m2, znači iz celog plastenika od 100m2 80,000 biljaka. Ovo je optimalan broj biljaka, ako je on veći rasad bude slabiji. </t>
  </si>
  <si>
    <t>POKRIVANJE</t>
  </si>
  <si>
    <t>POKRIVANJE AGRIL FOLIJOM</t>
  </si>
  <si>
    <t xml:space="preserve">Za pokrivanje ovako priremljene leje potrebno je 1m3 mešavine za pokrivanje koja se pravi. </t>
  </si>
  <si>
    <t>MERE NEGE</t>
  </si>
  <si>
    <t>Zalivanje se vrši orošavanjem.</t>
  </si>
  <si>
    <t>Zalivanje</t>
  </si>
  <si>
    <t>Previcur energy - 2 puta</t>
  </si>
  <si>
    <t>Aktara</t>
  </si>
  <si>
    <t>PRIHRANA</t>
  </si>
  <si>
    <t>Vuksal super 2x</t>
  </si>
  <si>
    <t>Cena koštanja po biljci</t>
  </si>
  <si>
    <t>PRIREMA PLASTENIKA</t>
  </si>
  <si>
    <t>SETVA</t>
  </si>
  <si>
    <t>Kocke</t>
  </si>
  <si>
    <t>ZALIVANJE</t>
  </si>
  <si>
    <t>PAPRIKA SLATKA</t>
  </si>
  <si>
    <t>PAPRIKA LJUTA</t>
  </si>
  <si>
    <t>KRASTAVAC KORNIŠON</t>
  </si>
  <si>
    <t>CRNI LUK - MLADI</t>
  </si>
  <si>
    <t>Broj plastenika</t>
  </si>
  <si>
    <t>Veličina plastenika (20*5 m2)</t>
  </si>
  <si>
    <t>Silažni kukuruz</t>
  </si>
  <si>
    <t>RATARSKE KULTURE</t>
  </si>
  <si>
    <t>TROŠAK €/ha</t>
  </si>
  <si>
    <t>VOĆARSKE KULTURE</t>
  </si>
  <si>
    <t>TRITIKALE</t>
  </si>
  <si>
    <t>KRUŠKA</t>
  </si>
  <si>
    <t xml:space="preserve">PLASTENICI </t>
  </si>
  <si>
    <t>POVRTARSKE KULTURE</t>
  </si>
  <si>
    <t>KRASTAVAC KORNIŠONI</t>
  </si>
  <si>
    <t>LUK CRNI</t>
  </si>
  <si>
    <t>LUK CRNI - MLADI</t>
  </si>
  <si>
    <t>CVEKLA</t>
  </si>
  <si>
    <t>OSTALE PROIZVODNJE</t>
  </si>
  <si>
    <t>LIVADA</t>
  </si>
  <si>
    <t>LEKOVITO I AROMATIČNO B.</t>
  </si>
  <si>
    <t>KUPUS POSTRNI</t>
  </si>
  <si>
    <t>Ovce</t>
  </si>
  <si>
    <t>Jagnjad</t>
  </si>
  <si>
    <t>Krmače</t>
  </si>
  <si>
    <t>Junice</t>
  </si>
  <si>
    <t>Tovna junad</t>
  </si>
  <si>
    <t>Koze</t>
  </si>
  <si>
    <t>Jarad</t>
  </si>
  <si>
    <t>Koke nosilje</t>
  </si>
  <si>
    <t>Usevi</t>
  </si>
  <si>
    <t>Ječam</t>
  </si>
  <si>
    <t>Pšenica</t>
  </si>
  <si>
    <t>Tritikal</t>
  </si>
  <si>
    <t>Kukuruz</t>
  </si>
  <si>
    <t>Suncokret</t>
  </si>
  <si>
    <t>Šećerna repa</t>
  </si>
  <si>
    <t>Soja</t>
  </si>
  <si>
    <t>Stočni grašak</t>
  </si>
  <si>
    <t>Lucerka</t>
  </si>
  <si>
    <t>Raž</t>
  </si>
  <si>
    <t>Ovas</t>
  </si>
  <si>
    <t>Uljana repica</t>
  </si>
  <si>
    <t>Duvan</t>
  </si>
  <si>
    <t>Heljda</t>
  </si>
  <si>
    <t>Krompir</t>
  </si>
  <si>
    <t>Pasulj</t>
  </si>
  <si>
    <t>Rotkvica</t>
  </si>
  <si>
    <t>Grašak</t>
  </si>
  <si>
    <t>Boranija</t>
  </si>
  <si>
    <t>Paprika</t>
  </si>
  <si>
    <t>Krastavac</t>
  </si>
  <si>
    <t>Cvekla crvena</t>
  </si>
  <si>
    <t>Paradajz</t>
  </si>
  <si>
    <t>Spanać</t>
  </si>
  <si>
    <t>Lubenica</t>
  </si>
  <si>
    <t>Karfiol</t>
  </si>
  <si>
    <t>Kupus</t>
  </si>
  <si>
    <t>Kupus postrni</t>
  </si>
  <si>
    <t>Salata</t>
  </si>
  <si>
    <t>Šargarepa</t>
  </si>
  <si>
    <t>Peršun</t>
  </si>
  <si>
    <t>Plavi patlidžan</t>
  </si>
  <si>
    <t>Šljiva - intenzivan zasad</t>
  </si>
  <si>
    <t>Jabuka ekstenzivan zasad</t>
  </si>
  <si>
    <t>Jabuka - intenzivan zasad</t>
  </si>
  <si>
    <t>Kruška</t>
  </si>
  <si>
    <t>Breskva</t>
  </si>
  <si>
    <t>Kajsija</t>
  </si>
  <si>
    <t>Vinograd</t>
  </si>
  <si>
    <t>Malina i kupina</t>
  </si>
  <si>
    <t>Višnja</t>
  </si>
  <si>
    <t>Jagoda</t>
  </si>
  <si>
    <t>Dunja</t>
  </si>
  <si>
    <t>Mušmula</t>
  </si>
  <si>
    <t>M e s e c i</t>
  </si>
  <si>
    <t>I</t>
  </si>
  <si>
    <t>Red. broj</t>
  </si>
  <si>
    <t>Šljiva - ekstenzivan zasad</t>
  </si>
  <si>
    <t>Ukupne zalihe na parceli</t>
  </si>
  <si>
    <t xml:space="preserve">iznos € </t>
  </si>
  <si>
    <t>ha</t>
  </si>
  <si>
    <t>Decis (insekticid) ili</t>
  </si>
  <si>
    <t>HELJDA</t>
  </si>
  <si>
    <t>Transport heljde</t>
  </si>
  <si>
    <t>Baliranje žetvenih ostataka</t>
  </si>
  <si>
    <t>Transport žetvenih ostataka</t>
  </si>
  <si>
    <t>Basagran</t>
  </si>
  <si>
    <t>Decis - 1.put</t>
  </si>
  <si>
    <t>Fastak - 1 put</t>
  </si>
  <si>
    <t>Sekator (herbicid) - 1 put</t>
  </si>
  <si>
    <t>Falcon (fungicid) - 1 put</t>
  </si>
  <si>
    <t>Terbis - 1 put</t>
  </si>
  <si>
    <t>Afalon (herbicidi) - 1 put</t>
  </si>
  <si>
    <t>Panč - 1 put</t>
  </si>
  <si>
    <t>Rias  ili</t>
  </si>
  <si>
    <t>Afalon - 1 put</t>
  </si>
  <si>
    <t>Zaštita bilja - herbicidi - 2 puta</t>
  </si>
  <si>
    <t>Harmony - 1 put</t>
  </si>
  <si>
    <t>Deltazon - 1 put</t>
  </si>
  <si>
    <t>Sencor (herbicid) (1/4) - 1 put</t>
  </si>
  <si>
    <t>Talstar (1/4) - 1 put</t>
  </si>
  <si>
    <t>Triflureks (herbicid) - 1 put</t>
  </si>
  <si>
    <t>Decis (insekticid) - 1 put</t>
  </si>
  <si>
    <t>Sistemin - 1 put</t>
  </si>
  <si>
    <t>Crni luk</t>
  </si>
  <si>
    <t>Konopac-vezivanje struka u plasten.</t>
  </si>
  <si>
    <t>Paradajz - struka plastenik</t>
  </si>
  <si>
    <t>Paprika slatka - s. plast.</t>
  </si>
  <si>
    <t>Paprika ljuta - st. plast.</t>
  </si>
  <si>
    <t>Krastavac - st. plastenik</t>
  </si>
  <si>
    <t>Krastavac kornišoni - s. pl.</t>
  </si>
  <si>
    <t>Salata - struka plastenik</t>
  </si>
  <si>
    <t>Crni luk mladi - st. plast.</t>
  </si>
  <si>
    <t>ha/struka</t>
  </si>
  <si>
    <t>III,V,VI</t>
  </si>
  <si>
    <t>III-IX</t>
  </si>
  <si>
    <t xml:space="preserve">Pantera ili </t>
  </si>
  <si>
    <t>Spanać - kilograma plast.</t>
  </si>
  <si>
    <t>Duet ultra (fungicid) - 1 put</t>
  </si>
  <si>
    <t>Maton (herbicid) +</t>
  </si>
  <si>
    <t xml:space="preserve">Dual gold + </t>
  </si>
  <si>
    <t>Passat</t>
  </si>
  <si>
    <t>Perfection - 2. put</t>
  </si>
  <si>
    <t>Perfection</t>
  </si>
  <si>
    <r>
      <t xml:space="preserve">PIKIRANI RASAD - </t>
    </r>
    <r>
      <rPr>
        <b/>
        <sz val="10"/>
        <rFont val="Arial"/>
        <family val="2"/>
      </rPr>
      <t>za sve vrste rasada</t>
    </r>
  </si>
  <si>
    <r>
      <t>Ječam</t>
    </r>
    <r>
      <rPr>
        <sz val="10"/>
        <rFont val="Arial"/>
        <family val="2"/>
      </rPr>
      <t xml:space="preserve"> se može sejati u jesen i u proleće. Jesenjom setvom koja je u praksi  pretežno zastupljena, postižu se znatno viši prinosi nego proletnjom. Tretiranje hemijskim sredstvima se vrši po potrebi. U praksi se najčešće primenjuje jedno prskanje (herbicidom ili insekticidom) u zavisnosti od potrebe.</t>
    </r>
  </si>
  <si>
    <r>
      <t>U zavisnosti od vremena setve postoji ozima (seje se u jesen) i jara (seje se krajem zime) pšenica</t>
    </r>
    <r>
      <rPr>
        <sz val="10"/>
        <rFont val="Arial"/>
        <family val="2"/>
      </rPr>
      <t>. Kod nas je u velikom procentu zastupljena ozima pšenica.</t>
    </r>
  </si>
  <si>
    <r>
      <t>Tritikal</t>
    </r>
    <r>
      <rPr>
        <sz val="10"/>
        <rFont val="Arial"/>
        <family val="2"/>
      </rPr>
      <t xml:space="preserve"> u narodu zovu stočno žito, jer se pretežno koristi kao stočna hrana. Tehnologija proizvodnje je ista kao i kod pšenice. Razlikuje se samo po utrošenoj količini semena i ostvarenom prinosu, koji je nešto veći nego kod pšenice.</t>
    </r>
  </si>
  <si>
    <r>
      <t>U proizvodnji silaže od kukuruza</t>
    </r>
    <r>
      <rPr>
        <sz val="10"/>
        <rFont val="Arial"/>
        <family val="2"/>
      </rPr>
      <t>, biljka kukuruza se silira u fazi mlečno voštane zrelosti. Tehnologija proizvodnje je kao i kod merkantilnog kukuruza. Razlike su samo u radnim operacijama siliranja i transporta zelene mase. Porodična kazdinstva koja siliraju kukuruz, najčešće raspolažu sa sopstvenim silo kombajnem.</t>
    </r>
  </si>
  <si>
    <r>
      <t>Kod proizvodnje šećerne repe</t>
    </r>
    <r>
      <rPr>
        <sz val="10"/>
        <rFont val="Arial"/>
        <family val="2"/>
      </rPr>
      <t xml:space="preserve"> porodična gazdinstva najčešće pored vađenja korena, uslužno plaćaju i transport šećerne repe.</t>
    </r>
  </si>
  <si>
    <r>
      <t>Stočni grašak</t>
    </r>
    <r>
      <rPr>
        <sz val="10"/>
        <rFont val="Arial"/>
        <family val="2"/>
      </rPr>
      <t xml:space="preserve"> se može sejati u jesen i u proleće. Jesenjom setvom koja je u praksi  pretežno zastupljena, postižu se znatno viši prinosi nego proletnjom. U praksi se najčešće ne tretira hemijskim sredstvima. Prosečan prinos se kreće oko 3,5 t/ha.</t>
    </r>
  </si>
  <si>
    <r>
      <t>Trošak zasnivanja lucerke</t>
    </r>
    <r>
      <rPr>
        <sz val="10"/>
        <rFont val="Arial"/>
        <family val="2"/>
      </rPr>
      <t xml:space="preserve"> u tehnološkoj karti je uključen sa jednom četvrtinom, jer se polazi od toga da se lucerište u proseku koristi 4 godine. Troškovi košenja, sakupljanja i baliranja sena lucerke nisu uključeni, pošto većina gazdinstava plaća ove usluge.</t>
    </r>
  </si>
  <si>
    <r>
      <t>Raž</t>
    </r>
    <r>
      <rPr>
        <sz val="10"/>
        <rFont val="Arial"/>
        <family val="2"/>
      </rPr>
      <t xml:space="preserve"> se tretira hemijskim sredstvima po potrebi, najčešće jednom (herbicidom ili insekticidom).</t>
    </r>
  </si>
  <si>
    <r>
      <t>Ovas</t>
    </r>
    <r>
      <rPr>
        <sz val="10"/>
        <rFont val="Arial"/>
        <family val="2"/>
      </rPr>
      <t xml:space="preserve"> se tretira hemijskim sredstvima po potrebi, najčešće jednom (herbicidom ili insekticidom).</t>
    </r>
  </si>
  <si>
    <r>
      <t xml:space="preserve">Prosečan prinos uljane repice </t>
    </r>
    <r>
      <rPr>
        <sz val="10"/>
        <rFont val="Arial"/>
        <family val="2"/>
      </rPr>
      <t>je 3-4 t/ha.</t>
    </r>
  </si>
  <si>
    <r>
      <t xml:space="preserve">U proizvodnji duvana </t>
    </r>
    <r>
      <rPr>
        <sz val="10"/>
        <rFont val="Arial"/>
        <family val="2"/>
      </rPr>
      <t>obuhvaćeni su i troškovi proizvodnje rasada koji je potreban za površinu od 1 ha. Prinos duvana se kreće od 1.5-1.8  t/ha. Za proizvodnju 1 kg suvog lista duvana utroši se oko 1 litra nafte.</t>
    </r>
  </si>
  <si>
    <r>
      <t>Krompir</t>
    </r>
    <r>
      <rPr>
        <sz val="10"/>
        <rFont val="Arial"/>
        <family val="2"/>
      </rPr>
      <t xml:space="preserve"> se sadi krajem marta meseca. Prinosi se kreću od 15-25 t/ha. Vegetacija za mlad krompir iznosi oko 60-70 dana, a za merkantilni krompir do 150 dana. </t>
    </r>
  </si>
  <si>
    <r>
      <t xml:space="preserve">Prosečan prinos </t>
    </r>
    <r>
      <rPr>
        <b/>
        <sz val="10"/>
        <rFont val="Arial"/>
        <family val="2"/>
      </rPr>
      <t>pasulja</t>
    </r>
    <r>
      <rPr>
        <sz val="10"/>
        <rFont val="Arial"/>
        <family val="2"/>
      </rPr>
      <t xml:space="preserve"> je 1.5-2.5 t/ha.</t>
    </r>
  </si>
  <si>
    <r>
      <t>Boranija</t>
    </r>
    <r>
      <rPr>
        <sz val="10"/>
        <rFont val="Arial"/>
        <family val="2"/>
      </rPr>
      <t xml:space="preserve"> predstavljaju istu vrstu i u biološkim osobinama među njima nema bitnih razlika. Osnovna razlika je njihovo korišćenje u ljudskoj ishrani. Prinos boranije se kreće oko 12 t/ha, pri čemu se sa jedne biljke ubere 12-15 mahuna. Prinos pasulja se kreće od 1.5-2.5 t/ha. Troškovi radne snage nisu uračunati u tehnološku kartu, a jedan radnik dnevno može ubrati do 150 kg pasulja ili boranije.  </t>
    </r>
  </si>
  <si>
    <r>
      <t xml:space="preserve">U proizvodnji </t>
    </r>
    <r>
      <rPr>
        <b/>
        <sz val="10"/>
        <rFont val="Arial"/>
        <family val="2"/>
      </rPr>
      <t xml:space="preserve">paprike </t>
    </r>
    <r>
      <rPr>
        <sz val="10"/>
        <rFont val="Arial"/>
        <family val="2"/>
      </rPr>
      <t>obuhvaćeni su i troškovi proizvodnje rasada koji je potreban za površinu od 1 ha. Prinos paprike se kreće od 25-30 t/ha.</t>
    </r>
  </si>
  <si>
    <r>
      <t xml:space="preserve">Krastavac </t>
    </r>
    <r>
      <rPr>
        <sz val="10"/>
        <rFont val="Arial"/>
        <family val="2"/>
      </rPr>
      <t>se najčešće proizvodi iz semena. Berba krastavaca počinje u junu ili nesto ranije. Prosečni prinosi krastavca salatara su oko 30 t/ha, a kornišona oko 20 t/ha.</t>
    </r>
  </si>
  <si>
    <r>
      <t xml:space="preserve">Cvekla </t>
    </r>
    <r>
      <rPr>
        <sz val="10"/>
        <rFont val="Arial"/>
        <family val="2"/>
      </rPr>
      <t xml:space="preserve">se može sejati u dva navrata: polovinom maja za letnju i početkom jula za jesenju potrošnju. Prinosi se kreću od 20-50 t/ha. </t>
    </r>
  </si>
  <si>
    <r>
      <t xml:space="preserve">Paradajz </t>
    </r>
    <r>
      <rPr>
        <sz val="10"/>
        <rFont val="Arial"/>
        <family val="2"/>
      </rPr>
      <t>se sadi u maju, a bere u drugoj polovini jula i u avgustu. Obuhvaćeni su i troškovi proizvodnje rasada koji je potreban za površinu od 1 ha. Prinosi se kreću od 30-50 t/ha.</t>
    </r>
  </si>
  <si>
    <r>
      <t xml:space="preserve">Spanać </t>
    </r>
    <r>
      <rPr>
        <sz val="10"/>
        <rFont val="Arial"/>
        <family val="2"/>
      </rPr>
      <t>se moze sejati u nekoliko navrata: u prolece, krajem avgusta ili u kasnu jesen. Vegetacija traje 35-45 dana. Prinos je od 10-12 t/ha. Najčešće se seje u jesen kao predusev ili u leto kao postrni usev.</t>
    </r>
  </si>
  <si>
    <r>
      <t xml:space="preserve">Prosečan prinos </t>
    </r>
    <r>
      <rPr>
        <b/>
        <sz val="10"/>
        <rFont val="Arial"/>
        <family val="2"/>
      </rPr>
      <t xml:space="preserve">lubenica </t>
    </r>
    <r>
      <rPr>
        <sz val="10"/>
        <rFont val="Arial"/>
        <family val="2"/>
      </rPr>
      <t>kreće se oko 25-50 t/ha.</t>
    </r>
  </si>
  <si>
    <r>
      <t>Karfiol</t>
    </r>
    <r>
      <rPr>
        <sz val="10"/>
        <rFont val="Arial"/>
        <family val="2"/>
      </rPr>
      <t xml:space="preserve"> se može gajiti kao osnovni usev za ranu potrošnju ili kao postrni usev za jesenju potrošnju. Prosečan prinos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se kreće od 15-30 t/ha. </t>
    </r>
  </si>
  <si>
    <r>
      <t>Kupus</t>
    </r>
    <r>
      <rPr>
        <sz val="10"/>
        <rFont val="Arial"/>
        <family val="2"/>
      </rPr>
      <t xml:space="preserve"> se može gajiti kao osnovni usev za ranu potrošnju ili kao postrni usev za jesenju potrošnju. Prinos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kupusa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 kreće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oko 35-60 t/ha.</t>
    </r>
  </si>
  <si>
    <r>
      <t>Postrni</t>
    </r>
    <r>
      <rPr>
        <b/>
        <sz val="10"/>
        <rFont val="Arial"/>
        <family val="2"/>
      </rPr>
      <t xml:space="preserve"> kupus</t>
    </r>
    <r>
      <rPr>
        <sz val="10"/>
        <rFont val="Arial"/>
        <family val="2"/>
      </rPr>
      <t xml:space="preserve"> se gajiti posle žetve pšenice i ostalih postrnih useva, za jesenju potrošnju. Prinos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kupusa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 kreće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oko 35-60 t/ha.</t>
    </r>
  </si>
  <si>
    <r>
      <t xml:space="preserve">Salata </t>
    </r>
    <r>
      <rPr>
        <sz val="10"/>
        <rFont val="Arial"/>
        <family val="2"/>
      </rPr>
      <t>se najčešće proizvodi iz rasada. Rasad se sadi krajem februara ili krajem avgusta za prolećnu, odnosno zimsku potrošnju. Količina semena neophodna za 1m2 plastenika iznosi 2-3 grama. Prinos salate se kreće 15-30 t/ha.</t>
    </r>
  </si>
  <si>
    <r>
      <t>Prosečan prinos</t>
    </r>
    <r>
      <rPr>
        <b/>
        <sz val="10"/>
        <rFont val="Arial"/>
        <family val="2"/>
      </rPr>
      <t xml:space="preserve"> šargarepe </t>
    </r>
    <r>
      <rPr>
        <sz val="10"/>
        <rFont val="Arial"/>
        <family val="2"/>
      </rPr>
      <t>se kreće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25-50 t/ha.
</t>
    </r>
  </si>
  <si>
    <r>
      <t>Prosečan prinos</t>
    </r>
    <r>
      <rPr>
        <b/>
        <sz val="10"/>
        <rFont val="Arial"/>
        <family val="2"/>
      </rPr>
      <t xml:space="preserve"> peršuna </t>
    </r>
    <r>
      <rPr>
        <sz val="10"/>
        <rFont val="Arial"/>
        <family val="2"/>
      </rPr>
      <t xml:space="preserve">se kreće 12-20 t/ha korena i oko 3 t/ha lišća.
</t>
    </r>
  </si>
  <si>
    <r>
      <t>Prosečan prinos</t>
    </r>
    <r>
      <rPr>
        <b/>
        <sz val="10"/>
        <rFont val="Arial"/>
        <family val="2"/>
      </rPr>
      <t xml:space="preserve"> plavog patlidžana </t>
    </r>
    <r>
      <rPr>
        <sz val="10"/>
        <rFont val="Arial"/>
        <family val="2"/>
      </rPr>
      <t>se kreće od 35-40 t/ha.</t>
    </r>
  </si>
  <si>
    <r>
      <t xml:space="preserve">Komentar: </t>
    </r>
    <r>
      <rPr>
        <sz val="10"/>
        <rFont val="Arial"/>
        <family val="2"/>
      </rPr>
      <t>Prosečan prinos grožđa zavisi od sorte i uzgojnog oblika. Kod vinograda u punoj rodnosti kreće se od 10-15 t/ha.</t>
    </r>
  </si>
  <si>
    <r>
      <t>U praksi preovlađuju prirodne</t>
    </r>
    <r>
      <rPr>
        <b/>
        <sz val="10"/>
        <rFont val="Arial"/>
        <family val="2"/>
      </rPr>
      <t xml:space="preserve"> livade</t>
    </r>
    <r>
      <rPr>
        <sz val="10"/>
        <rFont val="Arial"/>
        <family val="2"/>
      </rPr>
      <t>. Ukoliko postoje veštačke livade, u tehnološku kartu treba uključiti troškove goriva za osnovnu i  dopunsku obradu zemljišta, troškove semena i goriva za setvu. Troškovi košenja, sakupljanja i baliranja livadskog sena nisu uključeni, pošto većina gazdinstava plaća ove usluge. Prosečan prinos se kreće oko 4 t/ha.</t>
    </r>
  </si>
  <si>
    <r>
      <t xml:space="preserve">Prosečan prinos </t>
    </r>
    <r>
      <rPr>
        <b/>
        <sz val="10"/>
        <rFont val="Arial"/>
        <family val="2"/>
      </rPr>
      <t>šampinjona</t>
    </r>
    <r>
      <rPr>
        <sz val="10"/>
        <rFont val="Arial"/>
        <family val="2"/>
      </rPr>
      <t xml:space="preserve"> po jednoj vreći kreće se od  3-6 kg. Od momenta stavljana micelijuma u kompost pa do početka branja protekne 30 dana. Šampinjoni se beru narednih 30 dana.</t>
    </r>
  </si>
  <si>
    <r>
      <t xml:space="preserve">   KLIJENT     </t>
    </r>
    <r>
      <rPr>
        <sz val="10"/>
        <rFont val="Arial"/>
        <family val="2"/>
      </rPr>
      <t xml:space="preserve">                            </t>
    </r>
  </si>
  <si>
    <r>
      <t xml:space="preserve">Komorač </t>
    </r>
    <r>
      <rPr>
        <sz val="10"/>
        <rFont val="Arial"/>
        <family val="2"/>
        <charset val="238"/>
      </rPr>
      <t>je višegodišnja zeljasta biljka, visine 150-200 cm. Dužina gajenja varira od 5 do 10 godina.</t>
    </r>
    <r>
      <rPr>
        <sz val="10"/>
        <rFont val="Arial"/>
        <family val="2"/>
      </rPr>
      <t xml:space="preserve"> Gaji se zbog ploda od koga se proizvodi eterično ulje. Koristi se  u kozmetičkoj i prehrambenoj industriji, kao sredstvo za popravljanje mirisa, za izradu čajeva, likera, bombona i sl. Setva se obavlja mašinski rano u proleće, sa 10-12 kg semena po hektaru, međurednim razmakom od 60-70 cm, dok na dužni metar treba da bude raspoređeno oko 50 semenki na dubinu od 2-3 cm i sa 50-70 klijavih zrna na dužni metar. Žetva se obavlja žitnim kombajnom u jednom prohodu. Prinos se kreće od 2,5-2,7 t/ha ili 1-2 t/ha suvog ploda ili 25-30 kg eteričnog ulja. U toku zime nadzemni deo biljke propada i obnavlja se u proleće svake godine. Na kraju vegetacije obavlja se košenje nadzemnog dela i prihranjivanje sa međurednim kultiviranjem.</t>
    </r>
  </si>
  <si>
    <r>
      <t xml:space="preserve">Nana </t>
    </r>
    <r>
      <rPr>
        <sz val="10"/>
        <rFont val="Arial"/>
        <family val="2"/>
        <charset val="238"/>
      </rPr>
      <t>je višegodišnja zeljasta biljka visine 50-100 cm. Gaji se kao dvogodišnja</t>
    </r>
    <r>
      <rPr>
        <sz val="10"/>
        <rFont val="Arial"/>
        <family val="2"/>
      </rPr>
      <t>, a ređe kao trogodišnja biljka. Koristi se u kozmetičkoj, farmaceutskoj i prehrambenoj industriji. Najpoznatija i najviše gajena sorta pitome nane je engleska sorta Mitcham. Razmnožava se pomoću stolona. Sadi se u jesen ili u proleće. Najbolje je sadnju obaviti u oktobru. Sadi se na razmak od 60-70 cm i na dubinu od 10 cm. Staloni se polažu na dno brazde i pokrivaju se zemljom. Potrebno je oko 1.500 kg stalona za sadnju 1 ha. Sa 1 ha se dobija 1.500-2.000 kg suvog lista i 25-40 kg ulja. Za 1 kg suvog lista potrebno je oko 10 kg sirovog lista.</t>
    </r>
  </si>
  <si>
    <r>
      <rPr>
        <b/>
        <sz val="10"/>
        <rFont val="Arial"/>
        <family val="2"/>
        <charset val="238"/>
      </rPr>
      <t>Kamilica</t>
    </r>
    <r>
      <rPr>
        <sz val="10"/>
        <rFont val="Arial"/>
        <family val="2"/>
        <charset val="238"/>
      </rPr>
      <t xml:space="preserve"> je jednogodišnja zeljasta biljka visine 30-60 cm. Svoju primenu nalazi u kozmetičkoj i farmaceutskoj industriji. Seje se u jesen i u proleće, s tim što je jesenja setva sigurnija i bolja od prolećne. Seje se omaške ili u redove žitnom sejalicom na razmak od 30 cm. Ukoliko je čistoća semena 50%, za setvu je potrebno 10-12 kg semena klijavosti oko 80%. Žetva se obavlja univerzalnim žitnim kombajnima, adaptiranim za žetvu kamilice. Prinos sirovih cvetova kamilice iznosi 5-6,5 t/ha, dnosno 0,7-1,2 t/ha suvog cveta i 2,5-3 kg/ha etarskog ulja. </t>
    </r>
  </si>
  <si>
    <r>
      <rPr>
        <b/>
        <sz val="10"/>
        <rFont val="Arial"/>
        <family val="2"/>
        <charset val="238"/>
      </rPr>
      <t>Matičnjak</t>
    </r>
    <r>
      <rPr>
        <sz val="10"/>
        <rFont val="Arial"/>
        <family val="2"/>
        <charset val="238"/>
      </rPr>
      <t xml:space="preserve"> je višegodišnja zeljata biljka, čija eksploatacija najčešće traje 5-6 godina. Koristi se u medicini, farmaciji i kozmetici. Sadi se u jesen ili rano u proleće. Razmak između redova je 60-70 cm, a u redu 25-30 cm. Na većim površinama koriste se sadilice za povrće. Sadi se u brazde dubine 6-8 cm. Prinos sirovog matičnjaka iznosi 4-6 t/ha. Prinos suvog lista u prvoj godini je 0,6-0,8 t/ha, a u narednim godinama 2-3 t/ha.</t>
    </r>
  </si>
  <si>
    <r>
      <t xml:space="preserve">Crni luk </t>
    </r>
    <r>
      <rPr>
        <sz val="10"/>
        <rFont val="Arial"/>
        <family val="2"/>
      </rPr>
      <t xml:space="preserve">se gaji na 3 različita nacina: iz semena, iz rasada i iz arpadžika. Najčešći način gajenja u našoj zemlji je iz arpadžika. Crni luk je dvogodišnja biljka, ali ukoliko se sadi arpadžik vegetacija iznosi godinu dana. Setva se obavlja u aprilu mesecu. Crni luk se vadi krajem jula, a prinos se kreće od 20-30 t/ha. 
</t>
    </r>
    <r>
      <rPr>
        <b/>
        <sz val="10"/>
        <rFont val="Arial"/>
        <family val="2"/>
      </rPr>
      <t/>
    </r>
  </si>
  <si>
    <r>
      <t>Grašak</t>
    </r>
    <r>
      <rPr>
        <sz val="10"/>
        <rFont val="Arial"/>
        <family val="2"/>
      </rPr>
      <t xml:space="preserve"> se seje polovinom marta, a berba je polovinom juna. Prosečan prinos zrna iznosi 7 t/ha. Grašak se navodnjava nekoliko puta u toku vegetacije sa 20-30 mm vode, a pošto je leguminoza đubri se samo mineralnim đubrivima. 
</t>
    </r>
  </si>
  <si>
    <r>
      <t>Rotkvica</t>
    </r>
    <r>
      <rPr>
        <sz val="10"/>
        <rFont val="Arial"/>
        <family val="2"/>
      </rPr>
      <t xml:space="preserve"> se seje krajem februara i početkom marta za ranu potrošnju, u aprilu za srednju, i u septembru za kasnu jesenju potrošnju. Rotkvica se redovno zaliva svakih 7-10 dana sa 20-30 mm vode. Herbicidi se ne koriste u proizvodnji, već samo insekticidi. Vegetacija je 30-60 dana. Prinos je oko 10 t/ha. 
</t>
    </r>
    <r>
      <rPr>
        <b/>
        <sz val="10"/>
        <rFont val="Arial"/>
        <family val="2"/>
      </rPr>
      <t/>
    </r>
  </si>
  <si>
    <t>Seme (sj 75.000 semenki)</t>
  </si>
  <si>
    <t>Seme sa supstratima (sj)</t>
  </si>
  <si>
    <t>Captan - 2. put</t>
  </si>
  <si>
    <t>Ripcord - 2 puta</t>
  </si>
  <si>
    <t>Sabithane - 1 put</t>
  </si>
  <si>
    <t>Imidan +</t>
  </si>
  <si>
    <t>Vađenje rotkvice</t>
  </si>
  <si>
    <t>Transport rotkvice</t>
  </si>
  <si>
    <t>Lešnik</t>
  </si>
  <si>
    <t>Transport i rasturanje stajnjaka (1/4)</t>
  </si>
  <si>
    <t>Zaoravanje stajnajka (1/4)</t>
  </si>
  <si>
    <t>Kuprozin - 2. put</t>
  </si>
  <si>
    <t>Captan - 3. put</t>
  </si>
  <si>
    <t>Systhane +</t>
  </si>
  <si>
    <t>Mankogal +</t>
  </si>
  <si>
    <t>Nurel - 5. put</t>
  </si>
  <si>
    <t>Transport lešnika</t>
  </si>
  <si>
    <t>VIII-X</t>
  </si>
  <si>
    <t>LEŠNIK</t>
  </si>
  <si>
    <t>Konzul - 6. put</t>
  </si>
  <si>
    <t>Komentar: Lešnik počinje da rađa od 3-4 godine, a period pune rodnosti počinje od 7-8 godine. U zavisnosti od uzgojnog oblika, formirne krune, gustine sadnje, starosti zasada i drugih činilaca, prinos lešnika je od 2,2-3,6 t/ha.</t>
  </si>
  <si>
    <t>II-XI</t>
  </si>
  <si>
    <t xml:space="preserve">U toku proizvodnje rasada od 60 dana obave se dva ili tri prskanja, koja su kombinacija insekticida i fungicida. Prska se na 15 dana. Potrebna količina vode za jedno prskanje je 30 l. </t>
  </si>
  <si>
    <t>Mešavina za kontejner (treset)</t>
  </si>
  <si>
    <t>Seme se seje u kontejnere sa pripremljenim supstratom. Setva se vrši u kontejnere od 360 rupa ili u gajbice 40x60 mm sa 300-400 biljaka posejanih u pripremljeni supstrat.</t>
  </si>
  <si>
    <t>Dvadeset dana posle setve radi se pikiranje, tj. presađivanje rasada u bogatiju podlogu tj. pripremljene kocke. Sa ovom količinom napravi se 1.000-1.200 kocki 8x8 cm ili 10x10 cm. Ako se prave mašinski za 10 sati napravi se 15.000-20.000 kocki. Ako se prave ručno za 10 sati napravi se 5.000-6.000 kocki.</t>
  </si>
  <si>
    <t>R. br.</t>
  </si>
  <si>
    <t>Stoloni - izdanci (kg) (1/2)</t>
  </si>
  <si>
    <t>Rasad</t>
  </si>
  <si>
    <t>Krave</t>
  </si>
  <si>
    <t>Vet. troškovi</t>
  </si>
  <si>
    <t>Hraniva</t>
  </si>
  <si>
    <t>Učešće hraniva u obroku %</t>
  </si>
  <si>
    <t>Ukupna
potrošnja (kg)</t>
  </si>
  <si>
    <t>Tritikale</t>
  </si>
  <si>
    <t>Koncentrat I</t>
  </si>
  <si>
    <t>ProCredit banka</t>
  </si>
  <si>
    <t>Prijepolje i Novi Pazar</t>
  </si>
  <si>
    <t>Kukuruzovina</t>
  </si>
  <si>
    <t>Lucerka - seno</t>
  </si>
  <si>
    <t>Livade - seno</t>
  </si>
  <si>
    <t>%</t>
  </si>
  <si>
    <t>Kupovna težina</t>
  </si>
  <si>
    <t>Prodajna tež.</t>
  </si>
  <si>
    <t>Prasad</t>
  </si>
  <si>
    <t>Concentrat I</t>
  </si>
  <si>
    <t>Concentrat II</t>
  </si>
  <si>
    <t>Tovne svinje</t>
  </si>
  <si>
    <t>Tovni pilići</t>
  </si>
  <si>
    <t>Concentrat III</t>
  </si>
  <si>
    <t>Površina (ha)</t>
  </si>
  <si>
    <t>Prinos
(kg/ha)</t>
  </si>
  <si>
    <t>Ukupno
(kg)</t>
  </si>
  <si>
    <t>Potrošnja
u stočarstvu (kg)</t>
  </si>
  <si>
    <t>Deficit -
suficit
 (kg)</t>
  </si>
  <si>
    <t>Kupovna cena
(€/kg)</t>
  </si>
  <si>
    <t>Ukupno
(€)</t>
  </si>
  <si>
    <t>Paritet
(kg)</t>
  </si>
  <si>
    <t>Deficit-
suficit
 (ha)</t>
  </si>
  <si>
    <t>Concentrat IIII</t>
  </si>
  <si>
    <t>Kupljena stoka</t>
  </si>
  <si>
    <t>Broj grla</t>
  </si>
  <si>
    <t>Cena</t>
  </si>
  <si>
    <t>Ukupni troškovi</t>
  </si>
  <si>
    <t>TROŠAK €/ha, €/vreći</t>
  </si>
  <si>
    <t>TROŠAK €/struku, €/kg</t>
  </si>
</sst>
</file>

<file path=xl/styles.xml><?xml version="1.0" encoding="utf-8"?>
<styleSheet xmlns="http://schemas.openxmlformats.org/spreadsheetml/2006/main">
  <numFmts count="6">
    <numFmt numFmtId="164" formatCode="#,##0.00\ _D_i_n_."/>
    <numFmt numFmtId="165" formatCode="0.000"/>
    <numFmt numFmtId="166" formatCode="#,##0.000\ [$€-1]"/>
    <numFmt numFmtId="167" formatCode="#,##0.000"/>
    <numFmt numFmtId="168" formatCode="#,##0.00\ [$€-1]"/>
    <numFmt numFmtId="169" formatCode="#,##0\ [$€-1]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  <charset val="238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7"/>
      <name val="Arial"/>
      <family val="2"/>
    </font>
    <font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8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9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9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29" xfId="0" applyFont="1" applyFill="1" applyBorder="1" applyAlignment="1"/>
    <xf numFmtId="0" fontId="3" fillId="0" borderId="0" xfId="0" applyFont="1" applyBorder="1" applyAlignment="1">
      <alignment horizontal="center"/>
    </xf>
    <xf numFmtId="0" fontId="1" fillId="0" borderId="56" xfId="0" applyFont="1" applyFill="1" applyBorder="1" applyAlignment="1">
      <alignment horizontal="center" vertical="center" wrapText="1"/>
    </xf>
    <xf numFmtId="0" fontId="1" fillId="0" borderId="53" xfId="0" applyFont="1" applyFill="1" applyBorder="1" applyAlignment="1">
      <alignment horizontal="center" vertical="center" wrapText="1"/>
    </xf>
    <xf numFmtId="0" fontId="3" fillId="0" borderId="53" xfId="0" applyFont="1" applyFill="1" applyBorder="1" applyAlignment="1">
      <alignment horizontal="center" vertical="center" wrapText="1"/>
    </xf>
    <xf numFmtId="4" fontId="3" fillId="0" borderId="54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3" fillId="0" borderId="35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right" wrapText="1"/>
    </xf>
    <xf numFmtId="0" fontId="3" fillId="0" borderId="10" xfId="0" applyFont="1" applyFill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1" fillId="0" borderId="12" xfId="0" applyFont="1" applyBorder="1" applyAlignment="1">
      <alignment horizontal="center"/>
    </xf>
    <xf numFmtId="0" fontId="1" fillId="0" borderId="36" xfId="0" applyFont="1" applyFill="1" applyBorder="1" applyAlignment="1">
      <alignment wrapText="1"/>
    </xf>
    <xf numFmtId="0" fontId="1" fillId="0" borderId="13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right" wrapText="1"/>
    </xf>
    <xf numFmtId="2" fontId="3" fillId="0" borderId="13" xfId="0" applyNumberFormat="1" applyFont="1" applyFill="1" applyBorder="1" applyAlignment="1">
      <alignment horizontal="right" wrapText="1"/>
    </xf>
    <xf numFmtId="4" fontId="3" fillId="0" borderId="14" xfId="0" applyNumberFormat="1" applyFont="1" applyBorder="1" applyAlignment="1">
      <alignment horizontal="right"/>
    </xf>
    <xf numFmtId="0" fontId="3" fillId="0" borderId="36" xfId="0" applyFont="1" applyFill="1" applyBorder="1" applyAlignment="1">
      <alignment wrapText="1"/>
    </xf>
    <xf numFmtId="0" fontId="3" fillId="0" borderId="13" xfId="0" applyFont="1" applyFill="1" applyBorder="1" applyAlignment="1">
      <alignment horizontal="center" wrapText="1"/>
    </xf>
    <xf numFmtId="0" fontId="1" fillId="0" borderId="36" xfId="0" applyFont="1" applyFill="1" applyBorder="1" applyAlignment="1">
      <alignment horizontal="left" wrapText="1"/>
    </xf>
    <xf numFmtId="2" fontId="1" fillId="2" borderId="13" xfId="0" applyNumberFormat="1" applyFont="1" applyFill="1" applyBorder="1" applyAlignment="1">
      <alignment horizontal="right" wrapText="1"/>
    </xf>
    <xf numFmtId="2" fontId="1" fillId="0" borderId="13" xfId="0" applyNumberFormat="1" applyFont="1" applyFill="1" applyBorder="1" applyAlignment="1">
      <alignment horizontal="right" wrapText="1"/>
    </xf>
    <xf numFmtId="0" fontId="3" fillId="0" borderId="36" xfId="0" applyFont="1" applyFill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22" xfId="0" applyFont="1" applyFill="1" applyBorder="1" applyAlignment="1">
      <alignment wrapText="1"/>
    </xf>
    <xf numFmtId="0" fontId="1" fillId="0" borderId="16" xfId="0" applyFont="1" applyFill="1" applyBorder="1" applyAlignment="1">
      <alignment horizontal="center" wrapText="1"/>
    </xf>
    <xf numFmtId="2" fontId="3" fillId="0" borderId="16" xfId="0" applyNumberFormat="1" applyFont="1" applyFill="1" applyBorder="1" applyAlignment="1">
      <alignment horizontal="right" wrapText="1"/>
    </xf>
    <xf numFmtId="4" fontId="3" fillId="0" borderId="17" xfId="0" applyNumberFormat="1" applyFont="1" applyBorder="1" applyAlignment="1">
      <alignment horizontal="right"/>
    </xf>
    <xf numFmtId="2" fontId="3" fillId="0" borderId="37" xfId="0" applyNumberFormat="1" applyFont="1" applyFill="1" applyBorder="1" applyAlignment="1">
      <alignment horizontal="right" wrapText="1"/>
    </xf>
    <xf numFmtId="4" fontId="3" fillId="0" borderId="38" xfId="0" applyNumberFormat="1" applyFont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6" xfId="0" applyFont="1" applyFill="1" applyBorder="1" applyAlignment="1">
      <alignment horizontal="right" wrapText="1"/>
    </xf>
    <xf numFmtId="0" fontId="1" fillId="0" borderId="0" xfId="0" applyFont="1" applyBorder="1"/>
    <xf numFmtId="0" fontId="1" fillId="0" borderId="0" xfId="0" applyFont="1" applyFill="1" applyBorder="1" applyAlignment="1">
      <alignment wrapText="1"/>
    </xf>
    <xf numFmtId="166" fontId="3" fillId="0" borderId="0" xfId="0" applyNumberFormat="1" applyFont="1" applyBorder="1" applyAlignment="1">
      <alignment horizontal="center"/>
    </xf>
    <xf numFmtId="0" fontId="1" fillId="0" borderId="0" xfId="0" applyFont="1" applyFill="1"/>
    <xf numFmtId="0" fontId="1" fillId="0" borderId="42" xfId="0" applyFont="1" applyBorder="1" applyAlignment="1">
      <alignment horizontal="center"/>
    </xf>
    <xf numFmtId="166" fontId="3" fillId="0" borderId="0" xfId="0" applyNumberFormat="1" applyFont="1" applyBorder="1"/>
    <xf numFmtId="4" fontId="3" fillId="0" borderId="61" xfId="0" applyNumberFormat="1" applyFont="1" applyBorder="1" applyAlignment="1">
      <alignment horizontal="right"/>
    </xf>
    <xf numFmtId="4" fontId="3" fillId="0" borderId="62" xfId="0" applyNumberFormat="1" applyFont="1" applyBorder="1" applyAlignment="1">
      <alignment horizontal="right"/>
    </xf>
    <xf numFmtId="4" fontId="3" fillId="0" borderId="55" xfId="0" applyNumberFormat="1" applyFont="1" applyBorder="1" applyAlignment="1">
      <alignment horizontal="right"/>
    </xf>
    <xf numFmtId="0" fontId="1" fillId="0" borderId="0" xfId="0" applyFont="1" applyFill="1" applyBorder="1" applyAlignment="1"/>
    <xf numFmtId="0" fontId="1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35" xfId="0" applyFont="1" applyBorder="1"/>
    <xf numFmtId="0" fontId="1" fillId="0" borderId="10" xfId="0" applyFont="1" applyBorder="1"/>
    <xf numFmtId="0" fontId="3" fillId="0" borderId="11" xfId="0" applyFont="1" applyBorder="1"/>
    <xf numFmtId="0" fontId="1" fillId="0" borderId="36" xfId="0" applyFont="1" applyBorder="1"/>
    <xf numFmtId="2" fontId="1" fillId="0" borderId="13" xfId="0" applyNumberFormat="1" applyFont="1" applyBorder="1"/>
    <xf numFmtId="4" fontId="3" fillId="0" borderId="14" xfId="0" applyNumberFormat="1" applyFont="1" applyBorder="1"/>
    <xf numFmtId="4" fontId="1" fillId="0" borderId="13" xfId="0" applyNumberFormat="1" applyFont="1" applyBorder="1"/>
    <xf numFmtId="0" fontId="3" fillId="0" borderId="36" xfId="0" applyFont="1" applyBorder="1"/>
    <xf numFmtId="2" fontId="1" fillId="8" borderId="13" xfId="0" applyNumberFormat="1" applyFont="1" applyFill="1" applyBorder="1"/>
    <xf numFmtId="4" fontId="1" fillId="8" borderId="13" xfId="0" applyNumberFormat="1" applyFont="1" applyFill="1" applyBorder="1"/>
    <xf numFmtId="4" fontId="1" fillId="2" borderId="13" xfId="0" applyNumberFormat="1" applyFont="1" applyFill="1" applyBorder="1"/>
    <xf numFmtId="165" fontId="1" fillId="0" borderId="13" xfId="0" applyNumberFormat="1" applyFont="1" applyBorder="1"/>
    <xf numFmtId="0" fontId="1" fillId="0" borderId="22" xfId="0" applyFont="1" applyBorder="1"/>
    <xf numFmtId="2" fontId="1" fillId="0" borderId="16" xfId="0" applyNumberFormat="1" applyFont="1" applyBorder="1"/>
    <xf numFmtId="2" fontId="1" fillId="2" borderId="16" xfId="0" applyNumberFormat="1" applyFont="1" applyFill="1" applyBorder="1"/>
    <xf numFmtId="4" fontId="3" fillId="0" borderId="17" xfId="0" applyNumberFormat="1" applyFont="1" applyBorder="1"/>
    <xf numFmtId="0" fontId="1" fillId="0" borderId="60" xfId="0" applyFont="1" applyBorder="1" applyAlignment="1">
      <alignment horizontal="center"/>
    </xf>
    <xf numFmtId="4" fontId="3" fillId="0" borderId="50" xfId="0" applyNumberFormat="1" applyFont="1" applyBorder="1"/>
    <xf numFmtId="2" fontId="1" fillId="0" borderId="10" xfId="0" applyNumberFormat="1" applyFont="1" applyBorder="1"/>
    <xf numFmtId="2" fontId="3" fillId="0" borderId="11" xfId="0" applyNumberFormat="1" applyFont="1" applyBorder="1"/>
    <xf numFmtId="0" fontId="1" fillId="0" borderId="0" xfId="0" applyFont="1" applyBorder="1" applyAlignment="1">
      <alignment vertical="top" wrapText="1"/>
    </xf>
    <xf numFmtId="2" fontId="3" fillId="0" borderId="14" xfId="0" applyNumberFormat="1" applyFont="1" applyBorder="1"/>
    <xf numFmtId="0" fontId="1" fillId="0" borderId="57" xfId="0" applyFont="1" applyBorder="1"/>
    <xf numFmtId="165" fontId="1" fillId="0" borderId="40" xfId="0" applyNumberFormat="1" applyFont="1" applyBorder="1"/>
    <xf numFmtId="2" fontId="1" fillId="0" borderId="40" xfId="0" applyNumberFormat="1" applyFont="1" applyBorder="1"/>
    <xf numFmtId="2" fontId="3" fillId="0" borderId="41" xfId="0" applyNumberFormat="1" applyFont="1" applyBorder="1"/>
    <xf numFmtId="2" fontId="3" fillId="0" borderId="50" xfId="0" applyNumberFormat="1" applyFont="1" applyBorder="1"/>
    <xf numFmtId="165" fontId="3" fillId="0" borderId="30" xfId="0" applyNumberFormat="1" applyFont="1" applyBorder="1"/>
    <xf numFmtId="2" fontId="3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1" fillId="0" borderId="7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right"/>
    </xf>
    <xf numFmtId="2" fontId="3" fillId="0" borderId="10" xfId="0" applyNumberFormat="1" applyFont="1" applyBorder="1" applyAlignment="1">
      <alignment horizontal="right" vertical="center" wrapText="1"/>
    </xf>
    <xf numFmtId="2" fontId="3" fillId="0" borderId="11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right" vertical="center" wrapText="1"/>
    </xf>
    <xf numFmtId="2" fontId="3" fillId="0" borderId="13" xfId="0" applyNumberFormat="1" applyFont="1" applyBorder="1" applyAlignment="1">
      <alignment horizontal="right" vertical="center" wrapText="1"/>
    </xf>
    <xf numFmtId="0" fontId="1" fillId="0" borderId="13" xfId="0" applyFont="1" applyFill="1" applyBorder="1"/>
    <xf numFmtId="0" fontId="1" fillId="0" borderId="13" xfId="0" applyFont="1" applyBorder="1"/>
    <xf numFmtId="2" fontId="1" fillId="0" borderId="13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 wrapText="1"/>
    </xf>
    <xf numFmtId="2" fontId="1" fillId="0" borderId="13" xfId="0" applyNumberFormat="1" applyFont="1" applyFill="1" applyBorder="1" applyAlignment="1">
      <alignment horizontal="right" vertical="center" wrapText="1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right" vertical="center" wrapText="1"/>
    </xf>
    <xf numFmtId="2" fontId="3" fillId="0" borderId="11" xfId="0" applyNumberFormat="1" applyFont="1" applyFill="1" applyBorder="1" applyAlignment="1">
      <alignment horizontal="right" vertical="center" wrapText="1"/>
    </xf>
    <xf numFmtId="4" fontId="1" fillId="0" borderId="13" xfId="0" applyNumberFormat="1" applyFont="1" applyBorder="1" applyAlignment="1">
      <alignment horizontal="right"/>
    </xf>
    <xf numFmtId="0" fontId="1" fillId="0" borderId="16" xfId="0" applyFont="1" applyBorder="1"/>
    <xf numFmtId="0" fontId="1" fillId="0" borderId="16" xfId="0" applyFont="1" applyBorder="1" applyAlignment="1">
      <alignment horizontal="center" vertical="center" wrapText="1"/>
    </xf>
    <xf numFmtId="4" fontId="1" fillId="0" borderId="37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 vertical="center" wrapText="1"/>
    </xf>
    <xf numFmtId="2" fontId="3" fillId="0" borderId="17" xfId="0" applyNumberFormat="1" applyFont="1" applyBorder="1" applyAlignment="1">
      <alignment horizontal="right" vertical="center" wrapText="1"/>
    </xf>
    <xf numFmtId="0" fontId="3" fillId="0" borderId="10" xfId="0" applyFont="1" applyBorder="1"/>
    <xf numFmtId="4" fontId="6" fillId="0" borderId="10" xfId="0" applyNumberFormat="1" applyFont="1" applyBorder="1" applyAlignment="1">
      <alignment horizontal="right"/>
    </xf>
    <xf numFmtId="2" fontId="3" fillId="0" borderId="46" xfId="0" applyNumberFormat="1" applyFont="1" applyBorder="1"/>
    <xf numFmtId="2" fontId="3" fillId="0" borderId="46" xfId="0" applyNumberFormat="1" applyFont="1" applyBorder="1" applyAlignment="1">
      <alignment horizontal="right"/>
    </xf>
    <xf numFmtId="2" fontId="3" fillId="0" borderId="48" xfId="0" applyNumberFormat="1" applyFont="1" applyBorder="1" applyAlignment="1">
      <alignment horizontal="right"/>
    </xf>
    <xf numFmtId="4" fontId="3" fillId="0" borderId="16" xfId="0" applyNumberFormat="1" applyFont="1" applyBorder="1" applyAlignment="1">
      <alignment horizontal="right"/>
    </xf>
    <xf numFmtId="2" fontId="3" fillId="0" borderId="16" xfId="0" applyNumberFormat="1" applyFont="1" applyBorder="1"/>
    <xf numFmtId="2" fontId="3" fillId="0" borderId="30" xfId="0" applyNumberFormat="1" applyFont="1" applyBorder="1" applyAlignment="1">
      <alignment horizontal="right"/>
    </xf>
    <xf numFmtId="0" fontId="1" fillId="0" borderId="4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right" vertical="center" wrapText="1"/>
    </xf>
    <xf numFmtId="2" fontId="3" fillId="0" borderId="14" xfId="0" applyNumberFormat="1" applyFont="1" applyBorder="1" applyAlignment="1">
      <alignment horizontal="right" vertical="center" wrapText="1"/>
    </xf>
    <xf numFmtId="2" fontId="3" fillId="0" borderId="4" xfId="0" applyNumberFormat="1" applyFont="1" applyBorder="1"/>
    <xf numFmtId="4" fontId="3" fillId="0" borderId="49" xfId="0" applyNumberFormat="1" applyFont="1" applyBorder="1"/>
    <xf numFmtId="0" fontId="3" fillId="0" borderId="30" xfId="0" applyFont="1" applyBorder="1"/>
    <xf numFmtId="0" fontId="3" fillId="0" borderId="0" xfId="0" applyFont="1" applyAlignment="1">
      <alignment horizontal="right"/>
    </xf>
    <xf numFmtId="2" fontId="3" fillId="0" borderId="0" xfId="0" applyNumberFormat="1" applyFont="1" applyBorder="1" applyAlignment="1">
      <alignment horizontal="center"/>
    </xf>
    <xf numFmtId="2" fontId="3" fillId="0" borderId="33" xfId="0" applyNumberFormat="1" applyFont="1" applyBorder="1" applyAlignment="1">
      <alignment horizontal="right" vertical="center" wrapText="1"/>
    </xf>
    <xf numFmtId="2" fontId="3" fillId="0" borderId="10" xfId="0" applyNumberFormat="1" applyFont="1" applyBorder="1"/>
    <xf numFmtId="4" fontId="3" fillId="0" borderId="11" xfId="0" applyNumberFormat="1" applyFont="1" applyBorder="1"/>
    <xf numFmtId="0" fontId="3" fillId="0" borderId="17" xfId="0" applyFont="1" applyBorder="1"/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3" fillId="0" borderId="13" xfId="0" applyNumberFormat="1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Fill="1" applyBorder="1" applyAlignment="1">
      <alignment horizontal="center"/>
    </xf>
    <xf numFmtId="4" fontId="1" fillId="0" borderId="13" xfId="0" applyNumberFormat="1" applyFont="1" applyFill="1" applyBorder="1" applyAlignment="1">
      <alignment horizontal="right"/>
    </xf>
    <xf numFmtId="2" fontId="3" fillId="0" borderId="13" xfId="0" applyNumberFormat="1" applyFont="1" applyFill="1" applyBorder="1"/>
    <xf numFmtId="4" fontId="1" fillId="0" borderId="10" xfId="0" applyNumberFormat="1" applyFont="1" applyFill="1" applyBorder="1" applyAlignment="1">
      <alignment horizontal="right"/>
    </xf>
    <xf numFmtId="0" fontId="1" fillId="0" borderId="16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right"/>
    </xf>
    <xf numFmtId="2" fontId="1" fillId="0" borderId="0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right"/>
    </xf>
    <xf numFmtId="0" fontId="1" fillId="0" borderId="13" xfId="0" applyNumberFormat="1" applyFont="1" applyBorder="1" applyAlignment="1">
      <alignment horizontal="center"/>
    </xf>
    <xf numFmtId="0" fontId="3" fillId="0" borderId="10" xfId="0" applyFont="1" applyFill="1" applyBorder="1"/>
    <xf numFmtId="0" fontId="1" fillId="0" borderId="10" xfId="0" applyFont="1" applyBorder="1" applyAlignment="1">
      <alignment horizontal="right"/>
    </xf>
    <xf numFmtId="0" fontId="3" fillId="0" borderId="0" xfId="0" applyFont="1" applyFill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/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/>
    <xf numFmtId="0" fontId="1" fillId="0" borderId="10" xfId="0" applyFont="1" applyFill="1" applyBorder="1" applyAlignment="1">
      <alignment horizontal="center"/>
    </xf>
    <xf numFmtId="2" fontId="3" fillId="0" borderId="10" xfId="0" applyNumberFormat="1" applyFont="1" applyFill="1" applyBorder="1"/>
    <xf numFmtId="4" fontId="3" fillId="0" borderId="11" xfId="0" applyNumberFormat="1" applyFont="1" applyFill="1" applyBorder="1"/>
    <xf numFmtId="4" fontId="3" fillId="0" borderId="14" xfId="0" applyNumberFormat="1" applyFont="1" applyFill="1" applyBorder="1"/>
    <xf numFmtId="0" fontId="1" fillId="0" borderId="10" xfId="0" applyFont="1" applyFill="1" applyBorder="1" applyAlignment="1">
      <alignment horizontal="left" vertical="center" wrapText="1"/>
    </xf>
    <xf numFmtId="2" fontId="3" fillId="0" borderId="35" xfId="0" applyNumberFormat="1" applyFont="1" applyFill="1" applyBorder="1"/>
    <xf numFmtId="0" fontId="1" fillId="0" borderId="13" xfId="0" applyFont="1" applyFill="1" applyBorder="1" applyAlignment="1">
      <alignment horizontal="left" vertical="center" wrapText="1"/>
    </xf>
    <xf numFmtId="2" fontId="3" fillId="0" borderId="36" xfId="0" applyNumberFormat="1" applyFont="1" applyFill="1" applyBorder="1"/>
    <xf numFmtId="0" fontId="1" fillId="2" borderId="13" xfId="0" applyFont="1" applyFill="1" applyBorder="1"/>
    <xf numFmtId="0" fontId="1" fillId="2" borderId="13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/>
    <xf numFmtId="0" fontId="1" fillId="0" borderId="16" xfId="0" applyFont="1" applyFill="1" applyBorder="1" applyAlignment="1">
      <alignment horizontal="center"/>
    </xf>
    <xf numFmtId="4" fontId="1" fillId="0" borderId="16" xfId="0" applyNumberFormat="1" applyFont="1" applyFill="1" applyBorder="1" applyAlignment="1">
      <alignment horizontal="right"/>
    </xf>
    <xf numFmtId="2" fontId="3" fillId="0" borderId="22" xfId="0" applyNumberFormat="1" applyFont="1" applyFill="1" applyBorder="1"/>
    <xf numFmtId="4" fontId="3" fillId="0" borderId="17" xfId="0" applyNumberFormat="1" applyFont="1" applyFill="1" applyBorder="1"/>
    <xf numFmtId="0" fontId="6" fillId="0" borderId="10" xfId="0" applyFont="1" applyFill="1" applyBorder="1" applyAlignment="1">
      <alignment horizontal="right"/>
    </xf>
    <xf numFmtId="2" fontId="3" fillId="0" borderId="16" xfId="0" applyNumberFormat="1" applyFont="1" applyFill="1" applyBorder="1"/>
    <xf numFmtId="0" fontId="3" fillId="0" borderId="17" xfId="0" applyFont="1" applyFill="1" applyBorder="1"/>
    <xf numFmtId="4" fontId="1" fillId="0" borderId="0" xfId="0" applyNumberFormat="1" applyFont="1"/>
    <xf numFmtId="4" fontId="1" fillId="2" borderId="13" xfId="0" applyNumberFormat="1" applyFont="1" applyFill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1" fillId="0" borderId="0" xfId="0" applyFont="1" applyFill="1" applyBorder="1" applyAlignment="1">
      <alignment horizontal="justify" vertical="top" wrapText="1"/>
    </xf>
    <xf numFmtId="2" fontId="3" fillId="0" borderId="11" xfId="0" applyNumberFormat="1" applyFont="1" applyBorder="1" applyAlignment="1">
      <alignment horizontal="right"/>
    </xf>
    <xf numFmtId="0" fontId="1" fillId="0" borderId="17" xfId="0" applyFont="1" applyBorder="1"/>
    <xf numFmtId="4" fontId="1" fillId="0" borderId="13" xfId="0" applyNumberFormat="1" applyFont="1" applyFill="1" applyBorder="1" applyAlignment="1">
      <alignment horizontal="right" vertical="center" wrapText="1"/>
    </xf>
    <xf numFmtId="4" fontId="1" fillId="0" borderId="13" xfId="0" applyNumberFormat="1" applyFont="1" applyBorder="1" applyAlignment="1">
      <alignment horizontal="right" vertical="center" wrapText="1"/>
    </xf>
    <xf numFmtId="2" fontId="3" fillId="0" borderId="37" xfId="0" applyNumberFormat="1" applyFont="1" applyBorder="1"/>
    <xf numFmtId="2" fontId="1" fillId="2" borderId="13" xfId="0" applyNumberFormat="1" applyFont="1" applyFill="1" applyBorder="1" applyAlignment="1">
      <alignment horizontal="right" vertical="center" wrapText="1"/>
    </xf>
    <xf numFmtId="2" fontId="3" fillId="0" borderId="16" xfId="0" applyNumberFormat="1" applyFont="1" applyFill="1" applyBorder="1" applyAlignment="1">
      <alignment horizontal="right" vertical="center" wrapText="1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 wrapText="1"/>
    </xf>
    <xf numFmtId="2" fontId="3" fillId="0" borderId="40" xfId="0" applyNumberFormat="1" applyFont="1" applyBorder="1" applyAlignment="1">
      <alignment horizontal="right" vertical="center" wrapText="1"/>
    </xf>
    <xf numFmtId="2" fontId="3" fillId="0" borderId="41" xfId="0" applyNumberFormat="1" applyFont="1" applyBorder="1" applyAlignment="1">
      <alignment horizontal="right" vertical="center" wrapText="1"/>
    </xf>
    <xf numFmtId="4" fontId="1" fillId="2" borderId="13" xfId="0" applyNumberFormat="1" applyFont="1" applyFill="1" applyBorder="1" applyAlignment="1"/>
    <xf numFmtId="4" fontId="1" fillId="0" borderId="13" xfId="0" applyNumberFormat="1" applyFont="1" applyBorder="1" applyAlignment="1"/>
    <xf numFmtId="4" fontId="1" fillId="0" borderId="13" xfId="0" applyNumberFormat="1" applyFont="1" applyFill="1" applyBorder="1" applyAlignment="1"/>
    <xf numFmtId="0" fontId="1" fillId="0" borderId="40" xfId="0" applyFont="1" applyFill="1" applyBorder="1"/>
    <xf numFmtId="0" fontId="1" fillId="0" borderId="13" xfId="0" applyFont="1" applyBorder="1" applyAlignment="1">
      <alignment vertical="center" wrapText="1"/>
    </xf>
    <xf numFmtId="0" fontId="1" fillId="0" borderId="40" xfId="0" applyFont="1" applyBorder="1"/>
    <xf numFmtId="4" fontId="1" fillId="0" borderId="13" xfId="0" applyNumberFormat="1" applyFont="1" applyFill="1" applyBorder="1"/>
    <xf numFmtId="2" fontId="1" fillId="2" borderId="40" xfId="0" applyNumberFormat="1" applyFont="1" applyFill="1" applyBorder="1" applyAlignment="1">
      <alignment vertical="center" wrapText="1"/>
    </xf>
    <xf numFmtId="2" fontId="1" fillId="0" borderId="40" xfId="0" applyNumberFormat="1" applyFont="1" applyBorder="1" applyAlignment="1">
      <alignment vertical="center" wrapText="1"/>
    </xf>
    <xf numFmtId="2" fontId="1" fillId="2" borderId="13" xfId="0" applyNumberFormat="1" applyFont="1" applyFill="1" applyBorder="1" applyAlignment="1">
      <alignment vertical="center" wrapText="1"/>
    </xf>
    <xf numFmtId="0" fontId="1" fillId="0" borderId="37" xfId="0" applyFont="1" applyBorder="1"/>
    <xf numFmtId="0" fontId="1" fillId="0" borderId="37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right" vertical="center" wrapText="1"/>
    </xf>
    <xf numFmtId="0" fontId="3" fillId="4" borderId="10" xfId="0" applyFont="1" applyFill="1" applyBorder="1"/>
    <xf numFmtId="4" fontId="1" fillId="4" borderId="10" xfId="0" applyNumberFormat="1" applyFont="1" applyFill="1" applyBorder="1"/>
    <xf numFmtId="4" fontId="3" fillId="4" borderId="10" xfId="0" applyNumberFormat="1" applyFont="1" applyFill="1" applyBorder="1"/>
    <xf numFmtId="2" fontId="3" fillId="4" borderId="11" xfId="0" applyNumberFormat="1" applyFont="1" applyFill="1" applyBorder="1"/>
    <xf numFmtId="4" fontId="3" fillId="0" borderId="16" xfId="0" applyNumberFormat="1" applyFont="1" applyBorder="1"/>
    <xf numFmtId="2" fontId="3" fillId="0" borderId="17" xfId="0" applyNumberFormat="1" applyFont="1" applyBorder="1"/>
    <xf numFmtId="0" fontId="1" fillId="0" borderId="16" xfId="0" applyFont="1" applyBorder="1" applyAlignment="1">
      <alignment horizontal="left" vertical="center" wrapText="1"/>
    </xf>
    <xf numFmtId="2" fontId="1" fillId="0" borderId="16" xfId="0" applyNumberFormat="1" applyFont="1" applyBorder="1" applyAlignment="1">
      <alignment horizontal="right" vertical="center" wrapText="1"/>
    </xf>
    <xf numFmtId="2" fontId="3" fillId="0" borderId="36" xfId="0" applyNumberFormat="1" applyFont="1" applyBorder="1"/>
    <xf numFmtId="0" fontId="1" fillId="0" borderId="40" xfId="0" applyFont="1" applyFill="1" applyBorder="1" applyAlignment="1">
      <alignment horizontal="center"/>
    </xf>
    <xf numFmtId="2" fontId="3" fillId="0" borderId="40" xfId="0" applyNumberFormat="1" applyFont="1" applyFill="1" applyBorder="1"/>
    <xf numFmtId="4" fontId="3" fillId="4" borderId="48" xfId="0" applyNumberFormat="1" applyFont="1" applyFill="1" applyBorder="1" applyAlignment="1">
      <alignment horizontal="right"/>
    </xf>
    <xf numFmtId="4" fontId="3" fillId="0" borderId="10" xfId="0" applyNumberFormat="1" applyFont="1" applyFill="1" applyBorder="1"/>
    <xf numFmtId="2" fontId="3" fillId="0" borderId="11" xfId="0" applyNumberFormat="1" applyFont="1" applyFill="1" applyBorder="1"/>
    <xf numFmtId="4" fontId="3" fillId="0" borderId="13" xfId="0" applyNumberFormat="1" applyFont="1" applyFill="1" applyBorder="1"/>
    <xf numFmtId="2" fontId="3" fillId="0" borderId="14" xfId="0" applyNumberFormat="1" applyFont="1" applyFill="1" applyBorder="1"/>
    <xf numFmtId="0" fontId="1" fillId="4" borderId="13" xfId="0" applyFont="1" applyFill="1" applyBorder="1" applyAlignment="1">
      <alignment horizontal="center" wrapText="1"/>
    </xf>
    <xf numFmtId="4" fontId="1" fillId="2" borderId="10" xfId="0" applyNumberFormat="1" applyFont="1" applyFill="1" applyBorder="1" applyAlignment="1">
      <alignment horizontal="right"/>
    </xf>
    <xf numFmtId="4" fontId="3" fillId="4" borderId="13" xfId="0" applyNumberFormat="1" applyFont="1" applyFill="1" applyBorder="1"/>
    <xf numFmtId="4" fontId="3" fillId="0" borderId="16" xfId="0" applyNumberFormat="1" applyFont="1" applyFill="1" applyBorder="1"/>
    <xf numFmtId="2" fontId="3" fillId="0" borderId="17" xfId="0" applyNumberFormat="1" applyFont="1" applyFill="1" applyBorder="1"/>
    <xf numFmtId="4" fontId="3" fillId="4" borderId="11" xfId="0" applyNumberFormat="1" applyFont="1" applyFill="1" applyBorder="1"/>
    <xf numFmtId="0" fontId="4" fillId="0" borderId="0" xfId="0" applyFont="1" applyAlignment="1">
      <alignment horizontal="center"/>
    </xf>
    <xf numFmtId="0" fontId="1" fillId="0" borderId="43" xfId="0" applyFont="1" applyBorder="1" applyAlignment="1">
      <alignment horizontal="left" vertical="center" wrapText="1"/>
    </xf>
    <xf numFmtId="0" fontId="1" fillId="2" borderId="40" xfId="0" applyFont="1" applyFill="1" applyBorder="1"/>
    <xf numFmtId="4" fontId="3" fillId="4" borderId="48" xfId="0" applyNumberFormat="1" applyFont="1" applyFill="1" applyBorder="1"/>
    <xf numFmtId="4" fontId="1" fillId="0" borderId="10" xfId="0" applyNumberFormat="1" applyFont="1" applyBorder="1" applyAlignment="1"/>
    <xf numFmtId="0" fontId="1" fillId="0" borderId="45" xfId="0" applyFont="1" applyBorder="1" applyAlignment="1">
      <alignment horizontal="center" vertical="center" wrapText="1"/>
    </xf>
    <xf numFmtId="0" fontId="1" fillId="0" borderId="32" xfId="0" applyFont="1" applyBorder="1"/>
    <xf numFmtId="0" fontId="1" fillId="0" borderId="32" xfId="0" applyFont="1" applyFill="1" applyBorder="1"/>
    <xf numFmtId="0" fontId="1" fillId="0" borderId="13" xfId="0" applyFont="1" applyFill="1" applyBorder="1" applyAlignment="1">
      <alignment vertical="center" wrapText="1"/>
    </xf>
    <xf numFmtId="4" fontId="1" fillId="0" borderId="40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4" fontId="3" fillId="4" borderId="13" xfId="0" applyNumberFormat="1" applyFont="1" applyFill="1" applyBorder="1" applyAlignment="1">
      <alignment horizontal="right"/>
    </xf>
    <xf numFmtId="4" fontId="3" fillId="4" borderId="11" xfId="0" applyNumberFormat="1" applyFont="1" applyFill="1" applyBorder="1" applyAlignment="1">
      <alignment horizontal="right"/>
    </xf>
    <xf numFmtId="2" fontId="3" fillId="0" borderId="17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vertical="center" wrapText="1"/>
    </xf>
    <xf numFmtId="4" fontId="3" fillId="0" borderId="48" xfId="0" applyNumberFormat="1" applyFont="1" applyBorder="1"/>
    <xf numFmtId="0" fontId="3" fillId="0" borderId="0" xfId="0" applyFont="1" applyAlignment="1"/>
    <xf numFmtId="4" fontId="3" fillId="0" borderId="13" xfId="0" applyNumberFormat="1" applyFont="1" applyBorder="1"/>
    <xf numFmtId="4" fontId="3" fillId="0" borderId="40" xfId="0" applyNumberFormat="1" applyFont="1" applyBorder="1" applyAlignment="1">
      <alignment horizontal="right" vertical="center" wrapText="1"/>
    </xf>
    <xf numFmtId="4" fontId="3" fillId="0" borderId="36" xfId="0" applyNumberFormat="1" applyFont="1" applyBorder="1"/>
    <xf numFmtId="2" fontId="3" fillId="0" borderId="40" xfId="0" applyNumberFormat="1" applyFont="1" applyBorder="1"/>
    <xf numFmtId="4" fontId="3" fillId="0" borderId="13" xfId="0" applyNumberFormat="1" applyFont="1" applyBorder="1" applyAlignment="1">
      <alignment horizontal="right"/>
    </xf>
    <xf numFmtId="4" fontId="3" fillId="0" borderId="10" xfId="0" applyNumberFormat="1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65" fontId="3" fillId="0" borderId="40" xfId="0" applyNumberFormat="1" applyFont="1" applyBorder="1" applyAlignment="1">
      <alignment horizontal="right" vertical="center" wrapText="1"/>
    </xf>
    <xf numFmtId="0" fontId="1" fillId="0" borderId="40" xfId="0" applyFont="1" applyBorder="1" applyAlignment="1">
      <alignment horizontal="left" vertical="center" wrapText="1"/>
    </xf>
    <xf numFmtId="0" fontId="8" fillId="0" borderId="0" xfId="0" applyFont="1"/>
    <xf numFmtId="164" fontId="1" fillId="2" borderId="13" xfId="0" applyNumberFormat="1" applyFont="1" applyFill="1" applyBorder="1" applyAlignment="1">
      <alignment horizontal="right" vertical="center" wrapText="1"/>
    </xf>
    <xf numFmtId="4" fontId="1" fillId="6" borderId="13" xfId="0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right" vertical="center" wrapText="1"/>
    </xf>
    <xf numFmtId="0" fontId="1" fillId="2" borderId="0" xfId="0" applyFont="1" applyFill="1"/>
    <xf numFmtId="2" fontId="3" fillId="2" borderId="13" xfId="0" applyNumberFormat="1" applyFont="1" applyFill="1" applyBorder="1"/>
    <xf numFmtId="4" fontId="3" fillId="0" borderId="48" xfId="0" applyNumberFormat="1" applyFont="1" applyFill="1" applyBorder="1"/>
    <xf numFmtId="0" fontId="2" fillId="0" borderId="47" xfId="0" applyFont="1" applyFill="1" applyBorder="1" applyAlignment="1">
      <alignment horizontal="center"/>
    </xf>
    <xf numFmtId="0" fontId="8" fillId="0" borderId="0" xfId="0" applyFont="1" applyFill="1"/>
    <xf numFmtId="0" fontId="1" fillId="2" borderId="3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2" fontId="3" fillId="2" borderId="10" xfId="0" applyNumberFormat="1" applyFont="1" applyFill="1" applyBorder="1"/>
    <xf numFmtId="4" fontId="3" fillId="2" borderId="11" xfId="0" applyNumberFormat="1" applyFont="1" applyFill="1" applyBorder="1"/>
    <xf numFmtId="0" fontId="1" fillId="2" borderId="16" xfId="0" applyFont="1" applyFill="1" applyBorder="1" applyAlignment="1">
      <alignment horizontal="right"/>
    </xf>
    <xf numFmtId="2" fontId="3" fillId="2" borderId="16" xfId="0" applyNumberFormat="1" applyFont="1" applyFill="1" applyBorder="1"/>
    <xf numFmtId="4" fontId="3" fillId="2" borderId="17" xfId="0" applyNumberFormat="1" applyFont="1" applyFill="1" applyBorder="1"/>
    <xf numFmtId="4" fontId="1" fillId="6" borderId="13" xfId="0" applyNumberFormat="1" applyFont="1" applyFill="1" applyBorder="1" applyAlignment="1"/>
    <xf numFmtId="2" fontId="3" fillId="2" borderId="40" xfId="0" applyNumberFormat="1" applyFont="1" applyFill="1" applyBorder="1" applyAlignment="1">
      <alignment horizontal="right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9" fillId="5" borderId="81" xfId="0" applyFont="1" applyFill="1" applyBorder="1" applyAlignment="1">
      <alignment horizontal="center" vertical="center" wrapText="1"/>
    </xf>
    <xf numFmtId="0" fontId="10" fillId="0" borderId="0" xfId="0" applyFont="1"/>
    <xf numFmtId="0" fontId="9" fillId="5" borderId="8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/>
    </xf>
    <xf numFmtId="0" fontId="9" fillId="5" borderId="11" xfId="0" applyFont="1" applyFill="1" applyBorder="1"/>
    <xf numFmtId="2" fontId="10" fillId="0" borderId="35" xfId="0" applyNumberFormat="1" applyFont="1" applyBorder="1"/>
    <xf numFmtId="2" fontId="10" fillId="0" borderId="10" xfId="0" applyNumberFormat="1" applyFont="1" applyBorder="1" applyProtection="1">
      <protection locked="0"/>
    </xf>
    <xf numFmtId="2" fontId="10" fillId="0" borderId="10" xfId="0" applyNumberFormat="1" applyFont="1" applyBorder="1"/>
    <xf numFmtId="2" fontId="10" fillId="0" borderId="10" xfId="0" applyNumberFormat="1" applyFont="1" applyBorder="1" applyProtection="1"/>
    <xf numFmtId="2" fontId="10" fillId="0" borderId="46" xfId="0" applyNumberFormat="1" applyFont="1" applyBorder="1" applyProtection="1">
      <protection locked="0"/>
    </xf>
    <xf numFmtId="2" fontId="10" fillId="0" borderId="46" xfId="0" applyNumberFormat="1" applyFont="1" applyBorder="1"/>
    <xf numFmtId="2" fontId="9" fillId="5" borderId="9" xfId="0" applyNumberFormat="1" applyFont="1" applyFill="1" applyBorder="1"/>
    <xf numFmtId="2" fontId="9" fillId="5" borderId="11" xfId="0" applyNumberFormat="1" applyFont="1" applyFill="1" applyBorder="1"/>
    <xf numFmtId="0" fontId="9" fillId="5" borderId="12" xfId="0" applyFont="1" applyFill="1" applyBorder="1" applyAlignment="1">
      <alignment horizontal="center"/>
    </xf>
    <xf numFmtId="0" fontId="9" fillId="5" borderId="14" xfId="0" applyFont="1" applyFill="1" applyBorder="1"/>
    <xf numFmtId="2" fontId="10" fillId="0" borderId="36" xfId="0" applyNumberFormat="1" applyFont="1" applyBorder="1"/>
    <xf numFmtId="2" fontId="10" fillId="0" borderId="13" xfId="0" applyNumberFormat="1" applyFont="1" applyBorder="1" applyProtection="1">
      <protection locked="0"/>
    </xf>
    <xf numFmtId="2" fontId="10" fillId="0" borderId="13" xfId="0" applyNumberFormat="1" applyFont="1" applyBorder="1"/>
    <xf numFmtId="2" fontId="10" fillId="0" borderId="13" xfId="0" applyNumberFormat="1" applyFont="1" applyBorder="1" applyProtection="1"/>
    <xf numFmtId="2" fontId="10" fillId="0" borderId="61" xfId="0" applyNumberFormat="1" applyFont="1" applyBorder="1" applyProtection="1">
      <protection locked="0"/>
    </xf>
    <xf numFmtId="2" fontId="10" fillId="0" borderId="61" xfId="0" applyNumberFormat="1" applyFont="1" applyBorder="1"/>
    <xf numFmtId="2" fontId="9" fillId="5" borderId="12" xfId="0" applyNumberFormat="1" applyFont="1" applyFill="1" applyBorder="1"/>
    <xf numFmtId="2" fontId="9" fillId="5" borderId="14" xfId="0" applyNumberFormat="1" applyFont="1" applyFill="1" applyBorder="1"/>
    <xf numFmtId="2" fontId="10" fillId="2" borderId="13" xfId="0" applyNumberFormat="1" applyFont="1" applyFill="1" applyBorder="1" applyProtection="1">
      <protection locked="0"/>
    </xf>
    <xf numFmtId="2" fontId="10" fillId="2" borderId="13" xfId="0" applyNumberFormat="1" applyFont="1" applyFill="1" applyBorder="1"/>
    <xf numFmtId="0" fontId="10" fillId="2" borderId="0" xfId="0" applyFont="1" applyFill="1"/>
    <xf numFmtId="2" fontId="10" fillId="2" borderId="36" xfId="0" applyNumberFormat="1" applyFont="1" applyFill="1" applyBorder="1"/>
    <xf numFmtId="2" fontId="10" fillId="2" borderId="13" xfId="0" applyNumberFormat="1" applyFont="1" applyFill="1" applyBorder="1" applyProtection="1"/>
    <xf numFmtId="0" fontId="9" fillId="5" borderId="39" xfId="0" applyFont="1" applyFill="1" applyBorder="1" applyAlignment="1">
      <alignment horizontal="center"/>
    </xf>
    <xf numFmtId="0" fontId="9" fillId="5" borderId="41" xfId="0" applyFont="1" applyFill="1" applyBorder="1"/>
    <xf numFmtId="2" fontId="10" fillId="0" borderId="57" xfId="0" applyNumberFormat="1" applyFont="1" applyBorder="1"/>
    <xf numFmtId="2" fontId="10" fillId="0" borderId="40" xfId="0" applyNumberFormat="1" applyFont="1" applyBorder="1" applyProtection="1">
      <protection locked="0"/>
    </xf>
    <xf numFmtId="2" fontId="10" fillId="0" borderId="40" xfId="0" applyNumberFormat="1" applyFont="1" applyBorder="1"/>
    <xf numFmtId="2" fontId="10" fillId="0" borderId="40" xfId="0" applyNumberFormat="1" applyFont="1" applyBorder="1" applyProtection="1"/>
    <xf numFmtId="2" fontId="10" fillId="0" borderId="63" xfId="0" applyNumberFormat="1" applyFont="1" applyBorder="1" applyProtection="1">
      <protection locked="0"/>
    </xf>
    <xf numFmtId="2" fontId="10" fillId="0" borderId="63" xfId="0" applyNumberFormat="1" applyFont="1" applyBorder="1"/>
    <xf numFmtId="2" fontId="9" fillId="5" borderId="41" xfId="0" applyNumberFormat="1" applyFont="1" applyFill="1" applyBorder="1"/>
    <xf numFmtId="0" fontId="9" fillId="9" borderId="41" xfId="0" applyFont="1" applyFill="1" applyBorder="1" applyProtection="1">
      <protection locked="0"/>
    </xf>
    <xf numFmtId="0" fontId="9" fillId="5" borderId="15" xfId="0" applyFont="1" applyFill="1" applyBorder="1" applyAlignment="1">
      <alignment horizontal="center"/>
    </xf>
    <xf numFmtId="0" fontId="9" fillId="9" borderId="17" xfId="0" applyFont="1" applyFill="1" applyBorder="1" applyProtection="1">
      <protection locked="0"/>
    </xf>
    <xf numFmtId="2" fontId="10" fillId="0" borderId="22" xfId="0" applyNumberFormat="1" applyFont="1" applyBorder="1"/>
    <xf numFmtId="2" fontId="10" fillId="0" borderId="16" xfId="0" applyNumberFormat="1" applyFont="1" applyBorder="1" applyProtection="1">
      <protection locked="0"/>
    </xf>
    <xf numFmtId="2" fontId="10" fillId="0" borderId="16" xfId="0" applyNumberFormat="1" applyFont="1" applyBorder="1"/>
    <xf numFmtId="2" fontId="10" fillId="0" borderId="16" xfId="0" applyNumberFormat="1" applyFont="1" applyBorder="1" applyProtection="1"/>
    <xf numFmtId="2" fontId="10" fillId="0" borderId="62" xfId="0" applyNumberFormat="1" applyFont="1" applyBorder="1" applyProtection="1">
      <protection locked="0"/>
    </xf>
    <xf numFmtId="2" fontId="10" fillId="0" borderId="62" xfId="0" applyNumberFormat="1" applyFont="1" applyBorder="1"/>
    <xf numFmtId="2" fontId="9" fillId="5" borderId="15" xfId="0" applyNumberFormat="1" applyFont="1" applyFill="1" applyBorder="1"/>
    <xf numFmtId="2" fontId="9" fillId="5" borderId="17" xfId="0" applyNumberFormat="1" applyFont="1" applyFill="1" applyBorder="1"/>
    <xf numFmtId="0" fontId="9" fillId="5" borderId="31" xfId="0" applyFont="1" applyFill="1" applyBorder="1" applyAlignment="1">
      <alignment horizontal="center"/>
    </xf>
    <xf numFmtId="165" fontId="10" fillId="0" borderId="35" xfId="0" applyNumberFormat="1" applyFont="1" applyFill="1" applyBorder="1"/>
    <xf numFmtId="2" fontId="10" fillId="0" borderId="10" xfId="0" applyNumberFormat="1" applyFont="1" applyFill="1" applyBorder="1" applyProtection="1">
      <protection locked="0"/>
    </xf>
    <xf numFmtId="165" fontId="10" fillId="0" borderId="10" xfId="0" applyNumberFormat="1" applyFont="1" applyFill="1" applyBorder="1"/>
    <xf numFmtId="165" fontId="10" fillId="0" borderId="10" xfId="0" applyNumberFormat="1" applyFont="1" applyFill="1" applyBorder="1" applyProtection="1"/>
    <xf numFmtId="2" fontId="10" fillId="0" borderId="46" xfId="0" applyNumberFormat="1" applyFont="1" applyFill="1" applyBorder="1" applyProtection="1">
      <protection locked="0"/>
    </xf>
    <xf numFmtId="0" fontId="10" fillId="0" borderId="0" xfId="0" applyFont="1" applyFill="1"/>
    <xf numFmtId="165" fontId="10" fillId="0" borderId="36" xfId="0" applyNumberFormat="1" applyFont="1" applyBorder="1"/>
    <xf numFmtId="165" fontId="10" fillId="0" borderId="13" xfId="0" applyNumberFormat="1" applyFont="1" applyBorder="1"/>
    <xf numFmtId="165" fontId="10" fillId="0" borderId="13" xfId="0" applyNumberFormat="1" applyFont="1" applyBorder="1" applyProtection="1"/>
    <xf numFmtId="0" fontId="9" fillId="9" borderId="14" xfId="0" applyFont="1" applyFill="1" applyBorder="1" applyProtection="1">
      <protection locked="0"/>
    </xf>
    <xf numFmtId="165" fontId="10" fillId="0" borderId="22" xfId="0" applyNumberFormat="1" applyFont="1" applyBorder="1"/>
    <xf numFmtId="165" fontId="10" fillId="0" borderId="16" xfId="0" applyNumberFormat="1" applyFont="1" applyBorder="1"/>
    <xf numFmtId="165" fontId="10" fillId="0" borderId="16" xfId="0" applyNumberFormat="1" applyFont="1" applyBorder="1" applyProtection="1"/>
    <xf numFmtId="0" fontId="10" fillId="5" borderId="42" xfId="0" applyFont="1" applyFill="1" applyBorder="1"/>
    <xf numFmtId="0" fontId="9" fillId="5" borderId="38" xfId="0" applyFont="1" applyFill="1" applyBorder="1"/>
    <xf numFmtId="2" fontId="9" fillId="5" borderId="42" xfId="0" applyNumberFormat="1" applyFont="1" applyFill="1" applyBorder="1"/>
    <xf numFmtId="2" fontId="9" fillId="5" borderId="38" xfId="0" applyNumberFormat="1" applyFont="1" applyFill="1" applyBorder="1"/>
    <xf numFmtId="4" fontId="1" fillId="2" borderId="13" xfId="0" applyNumberFormat="1" applyFont="1" applyFill="1" applyBorder="1" applyAlignment="1">
      <alignment horizontal="right" wrapText="1"/>
    </xf>
    <xf numFmtId="4" fontId="1" fillId="2" borderId="13" xfId="0" applyNumberFormat="1" applyFont="1" applyFill="1" applyBorder="1" applyAlignment="1">
      <alignment horizontal="right" vertical="center" wrapText="1"/>
    </xf>
    <xf numFmtId="164" fontId="1" fillId="0" borderId="13" xfId="0" applyNumberFormat="1" applyFont="1" applyFill="1" applyBorder="1" applyAlignment="1">
      <alignment horizontal="right" wrapText="1"/>
    </xf>
    <xf numFmtId="0" fontId="11" fillId="0" borderId="25" xfId="0" applyFont="1" applyBorder="1" applyAlignment="1">
      <alignment vertical="top"/>
    </xf>
    <xf numFmtId="4" fontId="1" fillId="10" borderId="13" xfId="0" applyNumberFormat="1" applyFont="1" applyFill="1" applyBorder="1"/>
    <xf numFmtId="0" fontId="3" fillId="0" borderId="36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right" vertical="center" wrapText="1"/>
    </xf>
    <xf numFmtId="4" fontId="3" fillId="0" borderId="14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center"/>
    </xf>
    <xf numFmtId="0" fontId="3" fillId="5" borderId="65" xfId="0" applyFont="1" applyFill="1" applyBorder="1" applyAlignment="1">
      <alignment horizontal="left"/>
    </xf>
    <xf numFmtId="0" fontId="3" fillId="5" borderId="75" xfId="0" applyFont="1" applyFill="1" applyBorder="1" applyAlignment="1">
      <alignment horizontal="left"/>
    </xf>
    <xf numFmtId="0" fontId="3" fillId="5" borderId="36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5" fontId="3" fillId="0" borderId="0" xfId="0" applyNumberFormat="1" applyFont="1" applyBorder="1" applyAlignment="1">
      <alignment horizontal="center"/>
    </xf>
    <xf numFmtId="2" fontId="1" fillId="2" borderId="13" xfId="0" applyNumberFormat="1" applyFont="1" applyFill="1" applyBorder="1"/>
    <xf numFmtId="4" fontId="1" fillId="2" borderId="10" xfId="0" applyNumberFormat="1" applyFont="1" applyFill="1" applyBorder="1" applyAlignment="1"/>
    <xf numFmtId="2" fontId="3" fillId="5" borderId="16" xfId="0" applyNumberFormat="1" applyFont="1" applyFill="1" applyBorder="1" applyAlignment="1">
      <alignment horizontal="right" vertical="center" wrapText="1"/>
    </xf>
    <xf numFmtId="0" fontId="9" fillId="5" borderId="41" xfId="0" applyFont="1" applyFill="1" applyBorder="1" applyProtection="1">
      <protection locked="0"/>
    </xf>
    <xf numFmtId="4" fontId="1" fillId="2" borderId="40" xfId="0" applyNumberFormat="1" applyFont="1" applyFill="1" applyBorder="1" applyAlignment="1"/>
    <xf numFmtId="4" fontId="1" fillId="2" borderId="16" xfId="0" applyNumberFormat="1" applyFont="1" applyFill="1" applyBorder="1" applyAlignment="1"/>
    <xf numFmtId="0" fontId="1" fillId="0" borderId="27" xfId="0" applyFont="1" applyBorder="1" applyAlignment="1">
      <alignment vertical="top" wrapText="1"/>
    </xf>
    <xf numFmtId="4" fontId="3" fillId="2" borderId="61" xfId="0" applyNumberFormat="1" applyFont="1" applyFill="1" applyBorder="1"/>
    <xf numFmtId="4" fontId="3" fillId="8" borderId="61" xfId="0" applyNumberFormat="1" applyFont="1" applyFill="1" applyBorder="1"/>
    <xf numFmtId="4" fontId="3" fillId="0" borderId="61" xfId="0" applyNumberFormat="1" applyFont="1" applyBorder="1"/>
    <xf numFmtId="2" fontId="3" fillId="0" borderId="61" xfId="0" applyNumberFormat="1" applyFont="1" applyBorder="1"/>
    <xf numFmtId="2" fontId="3" fillId="8" borderId="61" xfId="0" applyNumberFormat="1" applyFont="1" applyFill="1" applyBorder="1"/>
    <xf numFmtId="167" fontId="3" fillId="0" borderId="30" xfId="0" applyNumberFormat="1" applyFont="1" applyBorder="1"/>
    <xf numFmtId="0" fontId="1" fillId="0" borderId="6" xfId="0" applyFont="1" applyBorder="1" applyAlignment="1">
      <alignment horizontal="center" vertical="center" wrapText="1"/>
    </xf>
    <xf numFmtId="3" fontId="1" fillId="0" borderId="13" xfId="0" applyNumberFormat="1" applyFont="1" applyFill="1" applyBorder="1" applyAlignment="1">
      <alignment horizontal="right" wrapText="1"/>
    </xf>
    <xf numFmtId="0" fontId="12" fillId="0" borderId="0" xfId="0" applyFont="1" applyProtection="1"/>
    <xf numFmtId="4" fontId="12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0" fontId="5" fillId="5" borderId="3" xfId="0" applyFont="1" applyFill="1" applyBorder="1" applyAlignment="1" applyProtection="1">
      <alignment horizontal="center"/>
    </xf>
    <xf numFmtId="0" fontId="12" fillId="3" borderId="4" xfId="0" applyFont="1" applyFill="1" applyBorder="1" applyAlignment="1" applyProtection="1">
      <alignment horizontal="center"/>
      <protection locked="0"/>
    </xf>
    <xf numFmtId="0" fontId="13" fillId="5" borderId="4" xfId="0" applyFont="1" applyFill="1" applyBorder="1" applyAlignment="1" applyProtection="1">
      <alignment horizontal="center"/>
    </xf>
    <xf numFmtId="168" fontId="12" fillId="5" borderId="4" xfId="0" applyNumberFormat="1" applyFont="1" applyFill="1" applyBorder="1" applyProtection="1"/>
    <xf numFmtId="168" fontId="5" fillId="5" borderId="5" xfId="0" applyNumberFormat="1" applyFont="1" applyFill="1" applyBorder="1" applyProtection="1"/>
    <xf numFmtId="0" fontId="5" fillId="5" borderId="12" xfId="0" applyFont="1" applyFill="1" applyBorder="1" applyAlignment="1" applyProtection="1">
      <alignment horizontal="center" vertical="center"/>
    </xf>
    <xf numFmtId="0" fontId="14" fillId="7" borderId="13" xfId="0" applyFont="1" applyFill="1" applyBorder="1" applyAlignment="1" applyProtection="1">
      <alignment horizontal="center" vertical="center" wrapText="1"/>
    </xf>
    <xf numFmtId="0" fontId="12" fillId="5" borderId="12" xfId="0" applyFont="1" applyFill="1" applyBorder="1" applyProtection="1"/>
    <xf numFmtId="0" fontId="12" fillId="3" borderId="13" xfId="0" applyFont="1" applyFill="1" applyBorder="1" applyProtection="1">
      <protection locked="0"/>
    </xf>
    <xf numFmtId="0" fontId="12" fillId="5" borderId="12" xfId="0" applyFont="1" applyFill="1" applyBorder="1" applyProtection="1">
      <protection locked="0"/>
    </xf>
    <xf numFmtId="0" fontId="12" fillId="5" borderId="15" xfId="0" applyFont="1" applyFill="1" applyBorder="1" applyProtection="1"/>
    <xf numFmtId="0" fontId="12" fillId="3" borderId="16" xfId="0" applyFont="1" applyFill="1" applyBorder="1" applyProtection="1">
      <protection locked="0"/>
    </xf>
    <xf numFmtId="0" fontId="12" fillId="5" borderId="3" xfId="0" applyFont="1" applyFill="1" applyBorder="1" applyAlignment="1" applyProtection="1">
      <alignment horizontal="center"/>
    </xf>
    <xf numFmtId="0" fontId="12" fillId="7" borderId="4" xfId="0" applyFont="1" applyFill="1" applyBorder="1" applyAlignment="1" applyProtection="1">
      <alignment horizontal="center"/>
    </xf>
    <xf numFmtId="0" fontId="2" fillId="7" borderId="5" xfId="0" applyFont="1" applyFill="1" applyBorder="1" applyProtection="1"/>
    <xf numFmtId="0" fontId="12" fillId="7" borderId="5" xfId="0" applyFont="1" applyFill="1" applyBorder="1" applyProtection="1"/>
    <xf numFmtId="0" fontId="5" fillId="5" borderId="12" xfId="0" applyFont="1" applyFill="1" applyBorder="1" applyAlignment="1" applyProtection="1">
      <alignment horizontal="center"/>
    </xf>
    <xf numFmtId="0" fontId="12" fillId="3" borderId="13" xfId="0" applyFont="1" applyFill="1" applyBorder="1" applyAlignment="1" applyProtection="1">
      <alignment horizontal="center"/>
      <protection locked="0"/>
    </xf>
    <xf numFmtId="0" fontId="13" fillId="5" borderId="10" xfId="0" applyFont="1" applyFill="1" applyBorder="1" applyAlignment="1" applyProtection="1">
      <alignment horizontal="center"/>
    </xf>
    <xf numFmtId="168" fontId="12" fillId="5" borderId="13" xfId="0" applyNumberFormat="1" applyFont="1" applyFill="1" applyBorder="1" applyProtection="1"/>
    <xf numFmtId="168" fontId="5" fillId="5" borderId="14" xfId="0" applyNumberFormat="1" applyFont="1" applyFill="1" applyBorder="1" applyProtection="1"/>
    <xf numFmtId="0" fontId="12" fillId="5" borderId="42" xfId="0" applyFont="1" applyFill="1" applyBorder="1" applyProtection="1"/>
    <xf numFmtId="0" fontId="12" fillId="3" borderId="37" xfId="0" applyFont="1" applyFill="1" applyBorder="1" applyProtection="1">
      <protection locked="0"/>
    </xf>
    <xf numFmtId="168" fontId="12" fillId="5" borderId="10" xfId="0" applyNumberFormat="1" applyFont="1" applyFill="1" applyBorder="1" applyProtection="1"/>
    <xf numFmtId="0" fontId="12" fillId="0" borderId="0" xfId="0" quotePrefix="1" applyFont="1" applyFill="1" applyBorder="1" applyAlignment="1" applyProtection="1">
      <alignment horizontal="left"/>
    </xf>
    <xf numFmtId="168" fontId="12" fillId="5" borderId="4" xfId="0" applyNumberFormat="1" applyFont="1" applyFill="1" applyBorder="1" applyAlignment="1" applyProtection="1">
      <alignment horizontal="center"/>
    </xf>
    <xf numFmtId="0" fontId="10" fillId="7" borderId="60" xfId="0" applyFont="1" applyFill="1" applyBorder="1" applyProtection="1"/>
    <xf numFmtId="0" fontId="12" fillId="3" borderId="86" xfId="0" applyFont="1" applyFill="1" applyBorder="1" applyAlignment="1" applyProtection="1">
      <alignment horizontal="center"/>
      <protection locked="0"/>
    </xf>
    <xf numFmtId="0" fontId="12" fillId="7" borderId="87" xfId="0" applyFont="1" applyFill="1" applyBorder="1" applyProtection="1"/>
    <xf numFmtId="4" fontId="12" fillId="0" borderId="0" xfId="0" applyNumberFormat="1" applyFont="1" applyProtection="1"/>
    <xf numFmtId="0" fontId="5" fillId="5" borderId="88" xfId="0" applyFont="1" applyFill="1" applyBorder="1" applyAlignment="1" applyProtection="1">
      <alignment horizontal="center" vertical="center" wrapText="1"/>
    </xf>
    <xf numFmtId="4" fontId="5" fillId="5" borderId="88" xfId="0" applyNumberFormat="1" applyFont="1" applyFill="1" applyBorder="1" applyAlignment="1" applyProtection="1">
      <alignment horizontal="center" vertical="center" wrapText="1"/>
    </xf>
    <xf numFmtId="0" fontId="5" fillId="5" borderId="78" xfId="0" applyFont="1" applyFill="1" applyBorder="1" applyAlignment="1" applyProtection="1">
      <alignment horizontal="center" vertical="center" wrapText="1"/>
    </xf>
    <xf numFmtId="2" fontId="12" fillId="5" borderId="4" xfId="0" applyNumberFormat="1" applyFont="1" applyFill="1" applyBorder="1" applyProtection="1"/>
    <xf numFmtId="3" fontId="12" fillId="5" borderId="4" xfId="0" applyNumberFormat="1" applyFont="1" applyFill="1" applyBorder="1" applyProtection="1"/>
    <xf numFmtId="3" fontId="12" fillId="7" borderId="4" xfId="0" applyNumberFormat="1" applyFont="1" applyFill="1" applyBorder="1" applyProtection="1"/>
    <xf numFmtId="168" fontId="12" fillId="3" borderId="4" xfId="0" applyNumberFormat="1" applyFont="1" applyFill="1" applyBorder="1" applyProtection="1">
      <protection locked="0"/>
    </xf>
    <xf numFmtId="169" fontId="12" fillId="7" borderId="4" xfId="0" applyNumberFormat="1" applyFont="1" applyFill="1" applyBorder="1" applyProtection="1"/>
    <xf numFmtId="2" fontId="12" fillId="3" borderId="4" xfId="0" applyNumberFormat="1" applyFont="1" applyFill="1" applyBorder="1" applyProtection="1">
      <protection locked="0"/>
    </xf>
    <xf numFmtId="4" fontId="12" fillId="7" borderId="5" xfId="0" applyNumberFormat="1" applyFont="1" applyFill="1" applyBorder="1" applyProtection="1"/>
    <xf numFmtId="2" fontId="12" fillId="5" borderId="10" xfId="0" applyNumberFormat="1" applyFont="1" applyFill="1" applyBorder="1" applyProtection="1"/>
    <xf numFmtId="3" fontId="12" fillId="5" borderId="13" xfId="0" applyNumberFormat="1" applyFont="1" applyFill="1" applyBorder="1" applyProtection="1"/>
    <xf numFmtId="3" fontId="12" fillId="7" borderId="13" xfId="0" applyNumberFormat="1" applyFont="1" applyFill="1" applyBorder="1" applyProtection="1"/>
    <xf numFmtId="168" fontId="12" fillId="3" borderId="13" xfId="0" applyNumberFormat="1" applyFont="1" applyFill="1" applyBorder="1" applyProtection="1">
      <protection locked="0"/>
    </xf>
    <xf numFmtId="169" fontId="12" fillId="7" borderId="13" xfId="0" applyNumberFormat="1" applyFont="1" applyFill="1" applyBorder="1" applyProtection="1"/>
    <xf numFmtId="2" fontId="12" fillId="3" borderId="13" xfId="0" applyNumberFormat="1" applyFont="1" applyFill="1" applyBorder="1" applyProtection="1">
      <protection locked="0"/>
    </xf>
    <xf numFmtId="4" fontId="12" fillId="7" borderId="14" xfId="0" applyNumberFormat="1" applyFont="1" applyFill="1" applyBorder="1" applyProtection="1"/>
    <xf numFmtId="2" fontId="12" fillId="5" borderId="13" xfId="0" applyNumberFormat="1" applyFont="1" applyFill="1" applyBorder="1" applyProtection="1"/>
    <xf numFmtId="168" fontId="12" fillId="11" borderId="13" xfId="0" applyNumberFormat="1" applyFont="1" applyFill="1" applyBorder="1" applyProtection="1">
      <protection locked="0"/>
    </xf>
    <xf numFmtId="3" fontId="12" fillId="3" borderId="13" xfId="0" applyNumberFormat="1" applyFont="1" applyFill="1" applyBorder="1" applyProtection="1">
      <protection locked="0"/>
    </xf>
    <xf numFmtId="2" fontId="12" fillId="5" borderId="16" xfId="0" applyNumberFormat="1" applyFont="1" applyFill="1" applyBorder="1" applyProtection="1"/>
    <xf numFmtId="3" fontId="12" fillId="5" borderId="16" xfId="0" applyNumberFormat="1" applyFont="1" applyFill="1" applyBorder="1" applyProtection="1"/>
    <xf numFmtId="3" fontId="12" fillId="7" borderId="16" xfId="0" applyNumberFormat="1" applyFont="1" applyFill="1" applyBorder="1" applyProtection="1"/>
    <xf numFmtId="168" fontId="12" fillId="3" borderId="16" xfId="0" applyNumberFormat="1" applyFont="1" applyFill="1" applyBorder="1" applyProtection="1">
      <protection locked="0"/>
    </xf>
    <xf numFmtId="169" fontId="12" fillId="7" borderId="16" xfId="0" applyNumberFormat="1" applyFont="1" applyFill="1" applyBorder="1" applyProtection="1"/>
    <xf numFmtId="2" fontId="12" fillId="3" borderId="16" xfId="0" applyNumberFormat="1" applyFont="1" applyFill="1" applyBorder="1" applyProtection="1">
      <protection locked="0"/>
    </xf>
    <xf numFmtId="4" fontId="12" fillId="7" borderId="17" xfId="0" applyNumberFormat="1" applyFont="1" applyFill="1" applyBorder="1" applyProtection="1"/>
    <xf numFmtId="4" fontId="12" fillId="7" borderId="10" xfId="0" applyNumberFormat="1" applyFont="1" applyFill="1" applyBorder="1" applyProtection="1"/>
    <xf numFmtId="168" fontId="12" fillId="3" borderId="10" xfId="0" applyNumberFormat="1" applyFont="1" applyFill="1" applyBorder="1" applyProtection="1">
      <protection locked="0"/>
    </xf>
    <xf numFmtId="169" fontId="12" fillId="7" borderId="10" xfId="0" applyNumberFormat="1" applyFont="1" applyFill="1" applyBorder="1" applyProtection="1"/>
    <xf numFmtId="4" fontId="12" fillId="7" borderId="13" xfId="0" applyNumberFormat="1" applyFont="1" applyFill="1" applyBorder="1" applyProtection="1"/>
    <xf numFmtId="4" fontId="12" fillId="7" borderId="16" xfId="0" applyNumberFormat="1" applyFont="1" applyFill="1" applyBorder="1" applyProtection="1"/>
    <xf numFmtId="0" fontId="15" fillId="5" borderId="86" xfId="0" applyFont="1" applyFill="1" applyBorder="1" applyAlignment="1" applyProtection="1">
      <alignment horizontal="center"/>
    </xf>
    <xf numFmtId="0" fontId="15" fillId="5" borderId="87" xfId="0" applyFont="1" applyFill="1" applyBorder="1" applyAlignment="1" applyProtection="1">
      <alignment horizontal="center"/>
    </xf>
    <xf numFmtId="3" fontId="16" fillId="11" borderId="4" xfId="0" applyNumberFormat="1" applyFont="1" applyFill="1" applyBorder="1" applyAlignment="1" applyProtection="1">
      <alignment vertical="center" wrapText="1"/>
      <protection locked="0"/>
    </xf>
    <xf numFmtId="168" fontId="16" fillId="11" borderId="4" xfId="0" applyNumberFormat="1" applyFont="1" applyFill="1" applyBorder="1" applyAlignment="1" applyProtection="1">
      <alignment vertical="center" wrapText="1"/>
      <protection locked="0"/>
    </xf>
    <xf numFmtId="169" fontId="12" fillId="5" borderId="5" xfId="0" applyNumberFormat="1" applyFont="1" applyFill="1" applyBorder="1" applyProtection="1"/>
    <xf numFmtId="3" fontId="16" fillId="11" borderId="13" xfId="0" applyNumberFormat="1" applyFont="1" applyFill="1" applyBorder="1" applyAlignment="1" applyProtection="1">
      <alignment vertical="center" wrapText="1"/>
      <protection locked="0"/>
    </xf>
    <xf numFmtId="168" fontId="16" fillId="11" borderId="13" xfId="0" applyNumberFormat="1" applyFont="1" applyFill="1" applyBorder="1" applyAlignment="1" applyProtection="1">
      <alignment vertical="center" wrapText="1"/>
      <protection locked="0"/>
    </xf>
    <xf numFmtId="169" fontId="12" fillId="5" borderId="11" xfId="0" applyNumberFormat="1" applyFont="1" applyFill="1" applyBorder="1" applyProtection="1"/>
    <xf numFmtId="3" fontId="16" fillId="11" borderId="16" xfId="0" applyNumberFormat="1" applyFont="1" applyFill="1" applyBorder="1" applyAlignment="1" applyProtection="1">
      <alignment vertical="center" wrapText="1"/>
      <protection locked="0"/>
    </xf>
    <xf numFmtId="168" fontId="16" fillId="11" borderId="16" xfId="0" applyNumberFormat="1" applyFont="1" applyFill="1" applyBorder="1" applyAlignment="1" applyProtection="1">
      <alignment vertical="center" wrapText="1"/>
      <protection locked="0"/>
    </xf>
    <xf numFmtId="169" fontId="12" fillId="5" borderId="38" xfId="0" applyNumberFormat="1" applyFont="1" applyFill="1" applyBorder="1" applyProtection="1"/>
    <xf numFmtId="169" fontId="15" fillId="5" borderId="38" xfId="0" applyNumberFormat="1" applyFont="1" applyFill="1" applyBorder="1" applyProtection="1"/>
    <xf numFmtId="4" fontId="3" fillId="2" borderId="13" xfId="0" applyNumberFormat="1" applyFont="1" applyFill="1" applyBorder="1"/>
    <xf numFmtId="4" fontId="3" fillId="2" borderId="16" xfId="0" applyNumberFormat="1" applyFont="1" applyFill="1" applyBorder="1"/>
    <xf numFmtId="2" fontId="3" fillId="2" borderId="16" xfId="0" applyNumberFormat="1" applyFont="1" applyFill="1" applyBorder="1" applyAlignment="1">
      <alignment horizontal="right" vertic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5" borderId="24" xfId="0" applyFont="1" applyFill="1" applyBorder="1" applyAlignment="1">
      <alignment horizontal="left" vertical="top" wrapText="1"/>
    </xf>
    <xf numFmtId="0" fontId="3" fillId="5" borderId="25" xfId="0" applyFont="1" applyFill="1" applyBorder="1" applyAlignment="1">
      <alignment horizontal="left" vertical="top" wrapText="1"/>
    </xf>
    <xf numFmtId="0" fontId="3" fillId="5" borderId="26" xfId="0" applyFont="1" applyFill="1" applyBorder="1" applyAlignment="1">
      <alignment horizontal="left" vertical="top" wrapText="1"/>
    </xf>
    <xf numFmtId="0" fontId="3" fillId="5" borderId="27" xfId="0" applyFont="1" applyFill="1" applyBorder="1" applyAlignment="1">
      <alignment horizontal="left" vertical="top" wrapText="1"/>
    </xf>
    <xf numFmtId="0" fontId="3" fillId="5" borderId="0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2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left" vertical="top" wrapText="1"/>
    </xf>
    <xf numFmtId="0" fontId="3" fillId="5" borderId="30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/>
    <xf numFmtId="0" fontId="3" fillId="0" borderId="35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Border="1"/>
    <xf numFmtId="0" fontId="0" fillId="0" borderId="1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0" xfId="0"/>
    <xf numFmtId="0" fontId="1" fillId="5" borderId="24" xfId="0" applyFont="1" applyFill="1" applyBorder="1" applyAlignment="1">
      <alignment horizontal="left" vertical="top" wrapText="1"/>
    </xf>
    <xf numFmtId="0" fontId="1" fillId="5" borderId="25" xfId="0" applyFont="1" applyFill="1" applyBorder="1" applyAlignment="1">
      <alignment horizontal="left" vertical="top" wrapText="1"/>
    </xf>
    <xf numFmtId="0" fontId="1" fillId="5" borderId="26" xfId="0" applyFont="1" applyFill="1" applyBorder="1" applyAlignment="1">
      <alignment horizontal="left" vertical="top" wrapText="1"/>
    </xf>
    <xf numFmtId="0" fontId="1" fillId="5" borderId="27" xfId="0" applyFont="1" applyFill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28" xfId="0" applyFont="1" applyFill="1" applyBorder="1" applyAlignment="1">
      <alignment horizontal="left" vertical="top" wrapText="1"/>
    </xf>
    <xf numFmtId="0" fontId="1" fillId="5" borderId="29" xfId="0" applyFont="1" applyFill="1" applyBorder="1" applyAlignment="1">
      <alignment horizontal="left" vertical="top" wrapText="1"/>
    </xf>
    <xf numFmtId="0" fontId="1" fillId="5" borderId="30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wrapText="1" indent="1"/>
    </xf>
    <xf numFmtId="0" fontId="1" fillId="0" borderId="13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left" indent="1"/>
    </xf>
    <xf numFmtId="0" fontId="3" fillId="0" borderId="24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66" fontId="3" fillId="0" borderId="23" xfId="0" applyNumberFormat="1" applyFont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3" fillId="0" borderId="58" xfId="0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0" fontId="3" fillId="0" borderId="59" xfId="0" applyFont="1" applyBorder="1" applyAlignment="1">
      <alignment horizontal="left"/>
    </xf>
    <xf numFmtId="0" fontId="3" fillId="0" borderId="23" xfId="0" applyFont="1" applyFill="1" applyBorder="1" applyAlignment="1">
      <alignment horizontal="center" wrapText="1"/>
    </xf>
    <xf numFmtId="0" fontId="3" fillId="0" borderId="52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52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3" fillId="0" borderId="58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0" fontId="3" fillId="0" borderId="58" xfId="0" applyFont="1" applyFill="1" applyBorder="1" applyAlignment="1">
      <alignment horizontal="center" wrapText="1"/>
    </xf>
    <xf numFmtId="0" fontId="3" fillId="0" borderId="59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left" wrapText="1"/>
    </xf>
    <xf numFmtId="0" fontId="9" fillId="5" borderId="82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44" xfId="0" applyFont="1" applyFill="1" applyBorder="1" applyAlignment="1">
      <alignment horizontal="center" vertical="center" wrapText="1"/>
    </xf>
    <xf numFmtId="0" fontId="9" fillId="5" borderId="78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79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80" xfId="0" applyFont="1" applyFill="1" applyBorder="1" applyAlignment="1">
      <alignment horizontal="center" vertical="center" wrapText="1"/>
    </xf>
    <xf numFmtId="2" fontId="9" fillId="5" borderId="78" xfId="0" applyNumberFormat="1" applyFont="1" applyFill="1" applyBorder="1" applyAlignment="1">
      <alignment horizontal="center"/>
    </xf>
    <xf numFmtId="2" fontId="9" fillId="5" borderId="33" xfId="0" applyNumberFormat="1" applyFont="1" applyFill="1" applyBorder="1" applyAlignment="1">
      <alignment horizontal="center"/>
    </xf>
    <xf numFmtId="2" fontId="9" fillId="5" borderId="38" xfId="0" applyNumberFormat="1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75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left" vertical="top" wrapText="1"/>
    </xf>
    <xf numFmtId="0" fontId="2" fillId="5" borderId="25" xfId="0" applyFont="1" applyFill="1" applyBorder="1" applyAlignment="1">
      <alignment horizontal="left" vertical="top" wrapText="1"/>
    </xf>
    <xf numFmtId="0" fontId="2" fillId="5" borderId="26" xfId="0" applyFont="1" applyFill="1" applyBorder="1" applyAlignment="1">
      <alignment horizontal="left" vertical="top" wrapText="1"/>
    </xf>
    <xf numFmtId="0" fontId="2" fillId="5" borderId="27" xfId="0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8" xfId="0" applyFont="1" applyFill="1" applyBorder="1" applyAlignment="1">
      <alignment horizontal="left" vertical="top" wrapText="1"/>
    </xf>
    <xf numFmtId="0" fontId="2" fillId="5" borderId="29" xfId="0" applyFont="1" applyFill="1" applyBorder="1" applyAlignment="1">
      <alignment horizontal="left" vertical="top" wrapText="1"/>
    </xf>
    <xf numFmtId="0" fontId="2" fillId="5" borderId="30" xfId="0" applyFont="1" applyFill="1" applyBorder="1" applyAlignment="1">
      <alignment horizontal="left" vertical="top" wrapText="1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4" fillId="7" borderId="13" xfId="0" applyFont="1" applyFill="1" applyBorder="1" applyAlignment="1" applyProtection="1">
      <alignment horizontal="center" vertical="center" wrapText="1"/>
    </xf>
    <xf numFmtId="0" fontId="14" fillId="7" borderId="14" xfId="0" applyFont="1" applyFill="1" applyBorder="1" applyAlignment="1" applyProtection="1">
      <alignment horizontal="center" vertical="center" wrapText="1"/>
    </xf>
    <xf numFmtId="0" fontId="12" fillId="7" borderId="61" xfId="0" applyFont="1" applyFill="1" applyBorder="1" applyAlignment="1" applyProtection="1">
      <alignment horizontal="center"/>
    </xf>
    <xf numFmtId="0" fontId="12" fillId="7" borderId="75" xfId="0" applyFont="1" applyFill="1" applyBorder="1" applyAlignment="1" applyProtection="1">
      <alignment horizontal="center"/>
    </xf>
    <xf numFmtId="0" fontId="12" fillId="7" borderId="76" xfId="0" applyFont="1" applyFill="1" applyBorder="1" applyAlignment="1" applyProtection="1">
      <alignment horizontal="center"/>
    </xf>
    <xf numFmtId="0" fontId="12" fillId="0" borderId="75" xfId="0" applyFont="1" applyBorder="1" applyProtection="1"/>
    <xf numFmtId="0" fontId="12" fillId="0" borderId="76" xfId="0" applyFont="1" applyBorder="1" applyProtection="1"/>
    <xf numFmtId="0" fontId="12" fillId="7" borderId="62" xfId="0" applyFont="1" applyFill="1" applyBorder="1" applyAlignment="1" applyProtection="1">
      <alignment horizontal="center"/>
    </xf>
    <xf numFmtId="0" fontId="12" fillId="0" borderId="21" xfId="0" applyFont="1" applyBorder="1" applyProtection="1"/>
    <xf numFmtId="0" fontId="12" fillId="0" borderId="85" xfId="0" applyFont="1" applyBorder="1" applyProtection="1"/>
    <xf numFmtId="0" fontId="12" fillId="7" borderId="13" xfId="0" applyFont="1" applyFill="1" applyBorder="1" applyAlignment="1" applyProtection="1">
      <alignment horizontal="center"/>
    </xf>
    <xf numFmtId="0" fontId="12" fillId="7" borderId="14" xfId="0" applyFont="1" applyFill="1" applyBorder="1" applyAlignment="1" applyProtection="1">
      <alignment horizontal="center"/>
    </xf>
    <xf numFmtId="0" fontId="12" fillId="7" borderId="16" xfId="0" applyFont="1" applyFill="1" applyBorder="1" applyAlignment="1" applyProtection="1">
      <alignment horizontal="center"/>
    </xf>
    <xf numFmtId="0" fontId="12" fillId="7" borderId="17" xfId="0" applyFont="1" applyFill="1" applyBorder="1" applyAlignment="1" applyProtection="1">
      <alignment horizontal="center"/>
    </xf>
    <xf numFmtId="0" fontId="12" fillId="7" borderId="21" xfId="0" applyFont="1" applyFill="1" applyBorder="1" applyAlignment="1" applyProtection="1">
      <alignment horizontal="center"/>
    </xf>
    <xf numFmtId="0" fontId="12" fillId="7" borderId="85" xfId="0" applyFont="1" applyFill="1" applyBorder="1" applyAlignment="1" applyProtection="1">
      <alignment horizontal="center"/>
    </xf>
    <xf numFmtId="0" fontId="5" fillId="5" borderId="82" xfId="0" applyFont="1" applyFill="1" applyBorder="1" applyAlignment="1" applyProtection="1">
      <alignment horizontal="center" vertical="center"/>
    </xf>
    <xf numFmtId="0" fontId="12" fillId="5" borderId="88" xfId="0" applyFont="1" applyFill="1" applyBorder="1" applyAlignment="1" applyProtection="1"/>
    <xf numFmtId="0" fontId="12" fillId="7" borderId="3" xfId="0" applyFont="1" applyFill="1" applyBorder="1" applyAlignment="1" applyProtection="1">
      <alignment horizontal="left" indent="1"/>
    </xf>
    <xf numFmtId="0" fontId="12" fillId="0" borderId="4" xfId="0" applyFont="1" applyBorder="1" applyAlignment="1" applyProtection="1">
      <alignment horizontal="left" indent="1"/>
    </xf>
    <xf numFmtId="0" fontId="12" fillId="7" borderId="12" xfId="0" applyFont="1" applyFill="1" applyBorder="1" applyAlignment="1" applyProtection="1">
      <alignment horizontal="left" indent="1"/>
    </xf>
    <xf numFmtId="0" fontId="12" fillId="0" borderId="13" xfId="0" applyFont="1" applyBorder="1" applyAlignment="1" applyProtection="1">
      <alignment horizontal="left" indent="1"/>
    </xf>
    <xf numFmtId="0" fontId="12" fillId="7" borderId="15" xfId="0" applyFont="1" applyFill="1" applyBorder="1" applyAlignment="1" applyProtection="1">
      <alignment horizontal="left" indent="1"/>
    </xf>
    <xf numFmtId="0" fontId="12" fillId="0" borderId="16" xfId="0" applyFont="1" applyBorder="1" applyAlignment="1" applyProtection="1">
      <alignment horizontal="left" indent="1"/>
    </xf>
    <xf numFmtId="0" fontId="12" fillId="7" borderId="27" xfId="0" applyFont="1" applyFill="1" applyBorder="1" applyAlignment="1" applyProtection="1">
      <alignment horizontal="left" indent="1"/>
    </xf>
    <xf numFmtId="0" fontId="12" fillId="0" borderId="0" xfId="0" applyFont="1" applyBorder="1" applyAlignment="1" applyProtection="1">
      <alignment horizontal="left" indent="1"/>
    </xf>
    <xf numFmtId="0" fontId="12" fillId="0" borderId="89" xfId="0" applyFont="1" applyBorder="1" applyAlignment="1" applyProtection="1">
      <alignment horizontal="left" indent="1"/>
    </xf>
    <xf numFmtId="0" fontId="12" fillId="5" borderId="10" xfId="0" applyFont="1" applyFill="1" applyBorder="1" applyAlignment="1" applyProtection="1">
      <alignment horizontal="center"/>
    </xf>
    <xf numFmtId="0" fontId="12" fillId="5" borderId="13" xfId="0" applyFont="1" applyFill="1" applyBorder="1" applyAlignment="1" applyProtection="1">
      <alignment horizontal="center"/>
    </xf>
    <xf numFmtId="0" fontId="12" fillId="5" borderId="16" xfId="0" applyFont="1" applyFill="1" applyBorder="1" applyAlignment="1" applyProtection="1">
      <alignment horizontal="center"/>
    </xf>
    <xf numFmtId="0" fontId="12" fillId="5" borderId="12" xfId="0" applyFont="1" applyFill="1" applyBorder="1" applyAlignment="1" applyProtection="1">
      <alignment horizontal="left" indent="1"/>
    </xf>
    <xf numFmtId="0" fontId="12" fillId="5" borderId="13" xfId="0" applyFont="1" applyFill="1" applyBorder="1" applyAlignment="1" applyProtection="1">
      <alignment horizontal="left" indent="1"/>
    </xf>
    <xf numFmtId="0" fontId="12" fillId="11" borderId="12" xfId="0" applyFont="1" applyFill="1" applyBorder="1" applyAlignment="1" applyProtection="1">
      <alignment horizontal="left" indent="1"/>
      <protection locked="0"/>
    </xf>
    <xf numFmtId="0" fontId="12" fillId="11" borderId="13" xfId="0" applyFont="1" applyFill="1" applyBorder="1" applyAlignment="1" applyProtection="1">
      <alignment horizontal="left" indent="1"/>
      <protection locked="0"/>
    </xf>
    <xf numFmtId="0" fontId="12" fillId="11" borderId="15" xfId="0" applyFont="1" applyFill="1" applyBorder="1" applyAlignment="1" applyProtection="1">
      <alignment horizontal="left" wrapText="1" indent="1"/>
      <protection locked="0"/>
    </xf>
    <xf numFmtId="0" fontId="12" fillId="11" borderId="16" xfId="0" applyFont="1" applyFill="1" applyBorder="1" applyAlignment="1" applyProtection="1">
      <alignment horizontal="left" wrapText="1" indent="1"/>
      <protection locked="0"/>
    </xf>
    <xf numFmtId="0" fontId="15" fillId="5" borderId="28" xfId="0" applyFont="1" applyFill="1" applyBorder="1" applyAlignment="1" applyProtection="1">
      <alignment horizontal="left" indent="1"/>
    </xf>
    <xf numFmtId="0" fontId="15" fillId="5" borderId="29" xfId="0" applyFont="1" applyFill="1" applyBorder="1" applyAlignment="1" applyProtection="1">
      <alignment horizontal="left" indent="1"/>
    </xf>
    <xf numFmtId="0" fontId="15" fillId="5" borderId="84" xfId="0" applyFont="1" applyFill="1" applyBorder="1" applyAlignment="1" applyProtection="1">
      <alignment horizontal="left" indent="1"/>
    </xf>
    <xf numFmtId="0" fontId="12" fillId="5" borderId="11" xfId="0" applyFont="1" applyFill="1" applyBorder="1" applyAlignment="1" applyProtection="1">
      <alignment horizontal="center"/>
    </xf>
    <xf numFmtId="0" fontId="12" fillId="5" borderId="14" xfId="0" applyFont="1" applyFill="1" applyBorder="1" applyAlignment="1" applyProtection="1">
      <alignment horizontal="center"/>
    </xf>
    <xf numFmtId="0" fontId="12" fillId="5" borderId="17" xfId="0" applyFont="1" applyFill="1" applyBorder="1" applyAlignment="1" applyProtection="1">
      <alignment horizontal="center"/>
    </xf>
    <xf numFmtId="0" fontId="12" fillId="7" borderId="90" xfId="0" applyFont="1" applyFill="1" applyBorder="1" applyAlignment="1" applyProtection="1">
      <alignment horizontal="left" indent="1"/>
    </xf>
    <xf numFmtId="0" fontId="12" fillId="0" borderId="91" xfId="0" applyFont="1" applyBorder="1" applyAlignment="1" applyProtection="1">
      <alignment horizontal="left" indent="1"/>
    </xf>
    <xf numFmtId="0" fontId="12" fillId="0" borderId="57" xfId="0" applyFont="1" applyBorder="1" applyAlignment="1" applyProtection="1">
      <alignment horizontal="left" indent="1"/>
    </xf>
    <xf numFmtId="0" fontId="12" fillId="7" borderId="20" xfId="0" applyFont="1" applyFill="1" applyBorder="1" applyAlignment="1" applyProtection="1">
      <alignment horizontal="left" indent="1"/>
    </xf>
    <xf numFmtId="0" fontId="12" fillId="0" borderId="21" xfId="0" applyFont="1" applyBorder="1" applyAlignment="1" applyProtection="1">
      <alignment horizontal="left" indent="1"/>
    </xf>
    <xf numFmtId="0" fontId="12" fillId="0" borderId="22" xfId="0" applyFont="1" applyBorder="1" applyAlignment="1" applyProtection="1">
      <alignment horizontal="left" indent="1"/>
    </xf>
    <xf numFmtId="0" fontId="15" fillId="5" borderId="60" xfId="0" applyFont="1" applyFill="1" applyBorder="1" applyAlignment="1" applyProtection="1">
      <alignment horizontal="center"/>
    </xf>
    <xf numFmtId="0" fontId="15" fillId="5" borderId="86" xfId="0" applyFont="1" applyFill="1" applyBorder="1" applyAlignment="1" applyProtection="1">
      <alignment horizontal="center"/>
    </xf>
    <xf numFmtId="0" fontId="12" fillId="11" borderId="3" xfId="0" applyFont="1" applyFill="1" applyBorder="1" applyAlignment="1" applyProtection="1">
      <alignment horizontal="left" wrapText="1" indent="1"/>
      <protection locked="0"/>
    </xf>
    <xf numFmtId="0" fontId="12" fillId="11" borderId="4" xfId="0" applyFont="1" applyFill="1" applyBorder="1" applyAlignment="1" applyProtection="1">
      <alignment horizontal="left" wrapText="1" indent="1"/>
      <protection locked="0"/>
    </xf>
    <xf numFmtId="0" fontId="16" fillId="11" borderId="12" xfId="0" applyFont="1" applyFill="1" applyBorder="1" applyAlignment="1" applyProtection="1">
      <alignment horizontal="left" vertical="center" wrapText="1" indent="1"/>
      <protection locked="0"/>
    </xf>
    <xf numFmtId="0" fontId="16" fillId="11" borderId="13" xfId="0" applyFont="1" applyFill="1" applyBorder="1" applyAlignment="1" applyProtection="1">
      <alignment horizontal="left" vertical="center" wrapText="1" indent="1"/>
      <protection locked="0"/>
    </xf>
    <xf numFmtId="0" fontId="17" fillId="5" borderId="3" xfId="0" applyFont="1" applyFill="1" applyBorder="1" applyAlignment="1" applyProtection="1">
      <alignment horizontal="center" vertical="center" wrapText="1"/>
    </xf>
    <xf numFmtId="0" fontId="17" fillId="5" borderId="4" xfId="0" applyFont="1" applyFill="1" applyBorder="1" applyAlignment="1" applyProtection="1">
      <alignment horizontal="center" vertical="center" wrapText="1"/>
    </xf>
    <xf numFmtId="0" fontId="17" fillId="5" borderId="15" xfId="0" applyFont="1" applyFill="1" applyBorder="1" applyAlignment="1" applyProtection="1">
      <alignment horizontal="center" vertical="center" wrapText="1"/>
    </xf>
    <xf numFmtId="0" fontId="17" fillId="5" borderId="16" xfId="0" applyFont="1" applyFill="1" applyBorder="1" applyAlignment="1" applyProtection="1">
      <alignment horizontal="center" vertical="center" wrapText="1"/>
    </xf>
    <xf numFmtId="169" fontId="17" fillId="7" borderId="92" xfId="0" applyNumberFormat="1" applyFont="1" applyFill="1" applyBorder="1" applyAlignment="1" applyProtection="1">
      <alignment horizontal="center" vertical="center" wrapText="1"/>
    </xf>
    <xf numFmtId="0" fontId="12" fillId="0" borderId="26" xfId="0" applyFont="1" applyBorder="1"/>
    <xf numFmtId="0" fontId="12" fillId="0" borderId="55" xfId="0" applyFont="1" applyBorder="1"/>
    <xf numFmtId="0" fontId="12" fillId="0" borderId="30" xfId="0" applyFont="1" applyBorder="1"/>
    <xf numFmtId="0" fontId="3" fillId="5" borderId="15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left"/>
    </xf>
    <xf numFmtId="4" fontId="3" fillId="0" borderId="16" xfId="0" applyNumberFormat="1" applyFont="1" applyBorder="1" applyAlignment="1">
      <alignment horizontal="center"/>
    </xf>
    <xf numFmtId="4" fontId="3" fillId="0" borderId="17" xfId="0" applyNumberFormat="1" applyFont="1" applyBorder="1" applyAlignment="1">
      <alignment horizontal="center"/>
    </xf>
    <xf numFmtId="0" fontId="3" fillId="5" borderId="28" xfId="0" applyFont="1" applyFill="1" applyBorder="1" applyAlignment="1">
      <alignment horizontal="left"/>
    </xf>
    <xf numFmtId="0" fontId="3" fillId="5" borderId="29" xfId="0" applyFont="1" applyFill="1" applyBorder="1" applyAlignment="1">
      <alignment horizontal="left"/>
    </xf>
    <xf numFmtId="0" fontId="3" fillId="5" borderId="84" xfId="0" applyFont="1" applyFill="1" applyBorder="1" applyAlignment="1">
      <alignment horizontal="left"/>
    </xf>
    <xf numFmtId="2" fontId="3" fillId="0" borderId="55" xfId="0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0" fontId="3" fillId="5" borderId="12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left"/>
    </xf>
    <xf numFmtId="4" fontId="3" fillId="0" borderId="13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3" fillId="5" borderId="9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2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2" fontId="3" fillId="0" borderId="40" xfId="0" applyNumberFormat="1" applyFont="1" applyBorder="1" applyAlignment="1">
      <alignment horizontal="center"/>
    </xf>
    <xf numFmtId="2" fontId="3" fillId="0" borderId="41" xfId="0" applyNumberFormat="1" applyFont="1" applyBorder="1" applyAlignment="1">
      <alignment horizontal="center"/>
    </xf>
    <xf numFmtId="0" fontId="3" fillId="5" borderId="42" xfId="0" applyFont="1" applyFill="1" applyBorder="1" applyAlignment="1">
      <alignment horizontal="left"/>
    </xf>
    <xf numFmtId="0" fontId="4" fillId="5" borderId="37" xfId="0" applyFont="1" applyFill="1" applyBorder="1" applyAlignment="1">
      <alignment horizontal="left"/>
    </xf>
    <xf numFmtId="2" fontId="3" fillId="0" borderId="37" xfId="0" applyNumberFormat="1" applyFont="1" applyBorder="1" applyAlignment="1">
      <alignment horizontal="center"/>
    </xf>
    <xf numFmtId="2" fontId="3" fillId="0" borderId="38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4" fillId="5" borderId="16" xfId="0" applyFont="1" applyFill="1" applyBorder="1" applyAlignment="1">
      <alignment horizontal="left"/>
    </xf>
    <xf numFmtId="0" fontId="3" fillId="5" borderId="51" xfId="0" applyFont="1" applyFill="1" applyBorder="1" applyAlignment="1">
      <alignment horizontal="center"/>
    </xf>
    <xf numFmtId="0" fontId="3" fillId="5" borderId="53" xfId="0" applyFont="1" applyFill="1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3" fillId="0" borderId="16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3" fillId="5" borderId="10" xfId="0" applyFont="1" applyFill="1" applyBorder="1" applyAlignment="1">
      <alignment horizontal="left"/>
    </xf>
    <xf numFmtId="4" fontId="3" fillId="0" borderId="10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0" fontId="3" fillId="5" borderId="65" xfId="0" applyFont="1" applyFill="1" applyBorder="1" applyAlignment="1">
      <alignment horizontal="left"/>
    </xf>
    <xf numFmtId="0" fontId="3" fillId="5" borderId="75" xfId="0" applyFont="1" applyFill="1" applyBorder="1" applyAlignment="1">
      <alignment horizontal="left"/>
    </xf>
    <xf numFmtId="0" fontId="3" fillId="5" borderId="36" xfId="0" applyFont="1" applyFill="1" applyBorder="1" applyAlignment="1">
      <alignment horizontal="left"/>
    </xf>
    <xf numFmtId="2" fontId="3" fillId="0" borderId="61" xfId="0" applyNumberFormat="1" applyFont="1" applyBorder="1" applyAlignment="1">
      <alignment horizontal="center"/>
    </xf>
    <xf numFmtId="2" fontId="3" fillId="0" borderId="75" xfId="0" applyNumberFormat="1" applyFont="1" applyBorder="1" applyAlignment="1">
      <alignment horizontal="center"/>
    </xf>
    <xf numFmtId="2" fontId="3" fillId="0" borderId="76" xfId="0" applyNumberFormat="1" applyFont="1" applyBorder="1" applyAlignment="1">
      <alignment horizontal="center"/>
    </xf>
    <xf numFmtId="4" fontId="3" fillId="0" borderId="37" xfId="0" applyNumberFormat="1" applyFont="1" applyBorder="1" applyAlignment="1">
      <alignment horizontal="center"/>
    </xf>
    <xf numFmtId="4" fontId="3" fillId="0" borderId="38" xfId="0" applyNumberFormat="1" applyFont="1" applyBorder="1" applyAlignment="1">
      <alignment horizontal="center"/>
    </xf>
    <xf numFmtId="4" fontId="3" fillId="0" borderId="61" xfId="0" applyNumberFormat="1" applyFont="1" applyBorder="1" applyAlignment="1">
      <alignment horizontal="center"/>
    </xf>
    <xf numFmtId="4" fontId="3" fillId="0" borderId="75" xfId="0" applyNumberFormat="1" applyFont="1" applyBorder="1" applyAlignment="1">
      <alignment horizontal="center"/>
    </xf>
    <xf numFmtId="4" fontId="3" fillId="0" borderId="76" xfId="0" applyNumberFormat="1" applyFont="1" applyBorder="1" applyAlignment="1">
      <alignment horizontal="center"/>
    </xf>
    <xf numFmtId="0" fontId="3" fillId="5" borderId="66" xfId="0" applyFont="1" applyFill="1" applyBorder="1" applyAlignment="1">
      <alignment horizontal="center"/>
    </xf>
    <xf numFmtId="0" fontId="3" fillId="5" borderId="67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/>
    </xf>
    <xf numFmtId="0" fontId="3" fillId="5" borderId="68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/>
    </xf>
    <xf numFmtId="0" fontId="3" fillId="5" borderId="70" xfId="0" applyFont="1" applyFill="1" applyBorder="1" applyAlignment="1">
      <alignment horizontal="left"/>
    </xf>
    <xf numFmtId="0" fontId="3" fillId="5" borderId="71" xfId="0" applyFont="1" applyFill="1" applyBorder="1" applyAlignment="1">
      <alignment horizontal="left"/>
    </xf>
    <xf numFmtId="0" fontId="3" fillId="5" borderId="72" xfId="0" applyFont="1" applyFill="1" applyBorder="1" applyAlignment="1">
      <alignment horizontal="left"/>
    </xf>
    <xf numFmtId="2" fontId="3" fillId="0" borderId="73" xfId="0" applyNumberFormat="1" applyFont="1" applyBorder="1" applyAlignment="1">
      <alignment horizontal="center"/>
    </xf>
    <xf numFmtId="2" fontId="3" fillId="0" borderId="71" xfId="0" applyNumberFormat="1" applyFont="1" applyBorder="1" applyAlignment="1">
      <alignment horizontal="center"/>
    </xf>
    <xf numFmtId="2" fontId="3" fillId="0" borderId="74" xfId="0" applyNumberFormat="1" applyFont="1" applyBorder="1" applyAlignment="1">
      <alignment horizontal="center"/>
    </xf>
    <xf numFmtId="4" fontId="3" fillId="0" borderId="73" xfId="0" applyNumberFormat="1" applyFont="1" applyBorder="1" applyAlignment="1">
      <alignment horizontal="center"/>
    </xf>
    <xf numFmtId="4" fontId="3" fillId="0" borderId="71" xfId="0" applyNumberFormat="1" applyFont="1" applyBorder="1" applyAlignment="1">
      <alignment horizontal="center"/>
    </xf>
    <xf numFmtId="4" fontId="3" fillId="0" borderId="74" xfId="0" applyNumberFormat="1" applyFont="1" applyBorder="1" applyAlignment="1">
      <alignment horizontal="center"/>
    </xf>
    <xf numFmtId="0" fontId="3" fillId="5" borderId="34" xfId="0" applyFont="1" applyFill="1" applyBorder="1" applyAlignment="1">
      <alignment horizontal="left"/>
    </xf>
    <xf numFmtId="0" fontId="3" fillId="5" borderId="77" xfId="0" applyFont="1" applyFill="1" applyBorder="1" applyAlignment="1">
      <alignment horizontal="left"/>
    </xf>
    <xf numFmtId="0" fontId="3" fillId="5" borderId="35" xfId="0" applyFont="1" applyFill="1" applyBorder="1" applyAlignment="1">
      <alignment horizontal="left"/>
    </xf>
    <xf numFmtId="4" fontId="3" fillId="0" borderId="46" xfId="0" applyNumberFormat="1" applyFont="1" applyBorder="1" applyAlignment="1">
      <alignment horizontal="center"/>
    </xf>
    <xf numFmtId="4" fontId="3" fillId="0" borderId="77" xfId="0" applyNumberFormat="1" applyFont="1" applyBorder="1" applyAlignment="1">
      <alignment horizontal="center"/>
    </xf>
    <xf numFmtId="4" fontId="3" fillId="0" borderId="64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3.10.77\ska\2017\NLB%2018.11.2017\Agro%20forma%20finansijske%20analize%2016.10.20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dluka"/>
      <sheetName val="Bonitet"/>
      <sheetName val="Rezime"/>
      <sheetName val="Fin. rezime i novčani tokovi"/>
      <sheetName val="Verifikacija"/>
      <sheetName val="Investiciona analiza"/>
      <sheetName val="Stočarstvo"/>
      <sheetName val="Zalihe na parceli i drugi usevi"/>
      <sheetName val="Proizvodna usmerenost"/>
      <sheetName val="Restruktuiranje"/>
      <sheetName val="Interna procena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tabSelected="1" showWhiteSpace="0" view="pageLayout" zoomScaleNormal="100" zoomScaleSheetLayoutView="80" workbookViewId="0">
      <selection activeCell="F1" sqref="F1"/>
    </sheetView>
  </sheetViews>
  <sheetFormatPr defaultRowHeight="12.75"/>
  <cols>
    <col min="1" max="1" width="3.42578125" style="3" bestFit="1" customWidth="1"/>
    <col min="2" max="2" width="30.7109375" style="3" customWidth="1"/>
    <col min="3" max="3" width="10.7109375" style="3" customWidth="1"/>
    <col min="4" max="4" width="10.7109375" style="82" customWidth="1"/>
    <col min="5" max="5" width="17.7109375" style="83" customWidth="1"/>
    <col min="6" max="6" width="17.7109375" style="3" customWidth="1"/>
    <col min="7" max="7" width="9.28515625" style="3" bestFit="1" customWidth="1"/>
    <col min="8" max="252" width="9.140625" style="3"/>
    <col min="253" max="253" width="2.7109375" style="3" bestFit="1" customWidth="1"/>
    <col min="254" max="254" width="26.85546875" style="3" customWidth="1"/>
    <col min="255" max="255" width="7.7109375" style="3" customWidth="1"/>
    <col min="256" max="256" width="9.85546875" style="3" customWidth="1"/>
    <col min="257" max="257" width="7" style="3" customWidth="1"/>
    <col min="258" max="258" width="10.85546875" style="3" customWidth="1"/>
    <col min="259" max="259" width="10.140625" style="3" customWidth="1"/>
    <col min="260" max="260" width="9.140625" style="3"/>
    <col min="261" max="261" width="11.7109375" style="3" customWidth="1"/>
    <col min="262" max="262" width="13.85546875" style="3" customWidth="1"/>
    <col min="263" max="508" width="9.140625" style="3"/>
    <col min="509" max="509" width="2.7109375" style="3" bestFit="1" customWidth="1"/>
    <col min="510" max="510" width="26.85546875" style="3" customWidth="1"/>
    <col min="511" max="511" width="7.7109375" style="3" customWidth="1"/>
    <col min="512" max="512" width="9.85546875" style="3" customWidth="1"/>
    <col min="513" max="513" width="7" style="3" customWidth="1"/>
    <col min="514" max="514" width="10.85546875" style="3" customWidth="1"/>
    <col min="515" max="515" width="10.140625" style="3" customWidth="1"/>
    <col min="516" max="516" width="9.140625" style="3"/>
    <col min="517" max="517" width="11.7109375" style="3" customWidth="1"/>
    <col min="518" max="518" width="13.85546875" style="3" customWidth="1"/>
    <col min="519" max="764" width="9.140625" style="3"/>
    <col min="765" max="765" width="2.7109375" style="3" bestFit="1" customWidth="1"/>
    <col min="766" max="766" width="26.85546875" style="3" customWidth="1"/>
    <col min="767" max="767" width="7.7109375" style="3" customWidth="1"/>
    <col min="768" max="768" width="9.85546875" style="3" customWidth="1"/>
    <col min="769" max="769" width="7" style="3" customWidth="1"/>
    <col min="770" max="770" width="10.85546875" style="3" customWidth="1"/>
    <col min="771" max="771" width="10.140625" style="3" customWidth="1"/>
    <col min="772" max="772" width="9.140625" style="3"/>
    <col min="773" max="773" width="11.7109375" style="3" customWidth="1"/>
    <col min="774" max="774" width="13.85546875" style="3" customWidth="1"/>
    <col min="775" max="1020" width="9.140625" style="3"/>
    <col min="1021" max="1021" width="2.7109375" style="3" bestFit="1" customWidth="1"/>
    <col min="1022" max="1022" width="26.85546875" style="3" customWidth="1"/>
    <col min="1023" max="1023" width="7.7109375" style="3" customWidth="1"/>
    <col min="1024" max="1024" width="9.85546875" style="3" customWidth="1"/>
    <col min="1025" max="1025" width="7" style="3" customWidth="1"/>
    <col min="1026" max="1026" width="10.85546875" style="3" customWidth="1"/>
    <col min="1027" max="1027" width="10.140625" style="3" customWidth="1"/>
    <col min="1028" max="1028" width="9.140625" style="3"/>
    <col min="1029" max="1029" width="11.7109375" style="3" customWidth="1"/>
    <col min="1030" max="1030" width="13.85546875" style="3" customWidth="1"/>
    <col min="1031" max="1276" width="9.140625" style="3"/>
    <col min="1277" max="1277" width="2.7109375" style="3" bestFit="1" customWidth="1"/>
    <col min="1278" max="1278" width="26.85546875" style="3" customWidth="1"/>
    <col min="1279" max="1279" width="7.7109375" style="3" customWidth="1"/>
    <col min="1280" max="1280" width="9.85546875" style="3" customWidth="1"/>
    <col min="1281" max="1281" width="7" style="3" customWidth="1"/>
    <col min="1282" max="1282" width="10.85546875" style="3" customWidth="1"/>
    <col min="1283" max="1283" width="10.140625" style="3" customWidth="1"/>
    <col min="1284" max="1284" width="9.140625" style="3"/>
    <col min="1285" max="1285" width="11.7109375" style="3" customWidth="1"/>
    <col min="1286" max="1286" width="13.85546875" style="3" customWidth="1"/>
    <col min="1287" max="1532" width="9.140625" style="3"/>
    <col min="1533" max="1533" width="2.7109375" style="3" bestFit="1" customWidth="1"/>
    <col min="1534" max="1534" width="26.85546875" style="3" customWidth="1"/>
    <col min="1535" max="1535" width="7.7109375" style="3" customWidth="1"/>
    <col min="1536" max="1536" width="9.85546875" style="3" customWidth="1"/>
    <col min="1537" max="1537" width="7" style="3" customWidth="1"/>
    <col min="1538" max="1538" width="10.85546875" style="3" customWidth="1"/>
    <col min="1539" max="1539" width="10.140625" style="3" customWidth="1"/>
    <col min="1540" max="1540" width="9.140625" style="3"/>
    <col min="1541" max="1541" width="11.7109375" style="3" customWidth="1"/>
    <col min="1542" max="1542" width="13.85546875" style="3" customWidth="1"/>
    <col min="1543" max="1788" width="9.140625" style="3"/>
    <col min="1789" max="1789" width="2.7109375" style="3" bestFit="1" customWidth="1"/>
    <col min="1790" max="1790" width="26.85546875" style="3" customWidth="1"/>
    <col min="1791" max="1791" width="7.7109375" style="3" customWidth="1"/>
    <col min="1792" max="1792" width="9.85546875" style="3" customWidth="1"/>
    <col min="1793" max="1793" width="7" style="3" customWidth="1"/>
    <col min="1794" max="1794" width="10.85546875" style="3" customWidth="1"/>
    <col min="1795" max="1795" width="10.140625" style="3" customWidth="1"/>
    <col min="1796" max="1796" width="9.140625" style="3"/>
    <col min="1797" max="1797" width="11.7109375" style="3" customWidth="1"/>
    <col min="1798" max="1798" width="13.85546875" style="3" customWidth="1"/>
    <col min="1799" max="2044" width="9.140625" style="3"/>
    <col min="2045" max="2045" width="2.7109375" style="3" bestFit="1" customWidth="1"/>
    <col min="2046" max="2046" width="26.85546875" style="3" customWidth="1"/>
    <col min="2047" max="2047" width="7.7109375" style="3" customWidth="1"/>
    <col min="2048" max="2048" width="9.85546875" style="3" customWidth="1"/>
    <col min="2049" max="2049" width="7" style="3" customWidth="1"/>
    <col min="2050" max="2050" width="10.85546875" style="3" customWidth="1"/>
    <col min="2051" max="2051" width="10.140625" style="3" customWidth="1"/>
    <col min="2052" max="2052" width="9.140625" style="3"/>
    <col min="2053" max="2053" width="11.7109375" style="3" customWidth="1"/>
    <col min="2054" max="2054" width="13.85546875" style="3" customWidth="1"/>
    <col min="2055" max="2300" width="9.140625" style="3"/>
    <col min="2301" max="2301" width="2.7109375" style="3" bestFit="1" customWidth="1"/>
    <col min="2302" max="2302" width="26.85546875" style="3" customWidth="1"/>
    <col min="2303" max="2303" width="7.7109375" style="3" customWidth="1"/>
    <col min="2304" max="2304" width="9.85546875" style="3" customWidth="1"/>
    <col min="2305" max="2305" width="7" style="3" customWidth="1"/>
    <col min="2306" max="2306" width="10.85546875" style="3" customWidth="1"/>
    <col min="2307" max="2307" width="10.140625" style="3" customWidth="1"/>
    <col min="2308" max="2308" width="9.140625" style="3"/>
    <col min="2309" max="2309" width="11.7109375" style="3" customWidth="1"/>
    <col min="2310" max="2310" width="13.85546875" style="3" customWidth="1"/>
    <col min="2311" max="2556" width="9.140625" style="3"/>
    <col min="2557" max="2557" width="2.7109375" style="3" bestFit="1" customWidth="1"/>
    <col min="2558" max="2558" width="26.85546875" style="3" customWidth="1"/>
    <col min="2559" max="2559" width="7.7109375" style="3" customWidth="1"/>
    <col min="2560" max="2560" width="9.85546875" style="3" customWidth="1"/>
    <col min="2561" max="2561" width="7" style="3" customWidth="1"/>
    <col min="2562" max="2562" width="10.85546875" style="3" customWidth="1"/>
    <col min="2563" max="2563" width="10.140625" style="3" customWidth="1"/>
    <col min="2564" max="2564" width="9.140625" style="3"/>
    <col min="2565" max="2565" width="11.7109375" style="3" customWidth="1"/>
    <col min="2566" max="2566" width="13.85546875" style="3" customWidth="1"/>
    <col min="2567" max="2812" width="9.140625" style="3"/>
    <col min="2813" max="2813" width="2.7109375" style="3" bestFit="1" customWidth="1"/>
    <col min="2814" max="2814" width="26.85546875" style="3" customWidth="1"/>
    <col min="2815" max="2815" width="7.7109375" style="3" customWidth="1"/>
    <col min="2816" max="2816" width="9.85546875" style="3" customWidth="1"/>
    <col min="2817" max="2817" width="7" style="3" customWidth="1"/>
    <col min="2818" max="2818" width="10.85546875" style="3" customWidth="1"/>
    <col min="2819" max="2819" width="10.140625" style="3" customWidth="1"/>
    <col min="2820" max="2820" width="9.140625" style="3"/>
    <col min="2821" max="2821" width="11.7109375" style="3" customWidth="1"/>
    <col min="2822" max="2822" width="13.85546875" style="3" customWidth="1"/>
    <col min="2823" max="3068" width="9.140625" style="3"/>
    <col min="3069" max="3069" width="2.7109375" style="3" bestFit="1" customWidth="1"/>
    <col min="3070" max="3070" width="26.85546875" style="3" customWidth="1"/>
    <col min="3071" max="3071" width="7.7109375" style="3" customWidth="1"/>
    <col min="3072" max="3072" width="9.85546875" style="3" customWidth="1"/>
    <col min="3073" max="3073" width="7" style="3" customWidth="1"/>
    <col min="3074" max="3074" width="10.85546875" style="3" customWidth="1"/>
    <col min="3075" max="3075" width="10.140625" style="3" customWidth="1"/>
    <col min="3076" max="3076" width="9.140625" style="3"/>
    <col min="3077" max="3077" width="11.7109375" style="3" customWidth="1"/>
    <col min="3078" max="3078" width="13.85546875" style="3" customWidth="1"/>
    <col min="3079" max="3324" width="9.140625" style="3"/>
    <col min="3325" max="3325" width="2.7109375" style="3" bestFit="1" customWidth="1"/>
    <col min="3326" max="3326" width="26.85546875" style="3" customWidth="1"/>
    <col min="3327" max="3327" width="7.7109375" style="3" customWidth="1"/>
    <col min="3328" max="3328" width="9.85546875" style="3" customWidth="1"/>
    <col min="3329" max="3329" width="7" style="3" customWidth="1"/>
    <col min="3330" max="3330" width="10.85546875" style="3" customWidth="1"/>
    <col min="3331" max="3331" width="10.140625" style="3" customWidth="1"/>
    <col min="3332" max="3332" width="9.140625" style="3"/>
    <col min="3333" max="3333" width="11.7109375" style="3" customWidth="1"/>
    <col min="3334" max="3334" width="13.85546875" style="3" customWidth="1"/>
    <col min="3335" max="3580" width="9.140625" style="3"/>
    <col min="3581" max="3581" width="2.7109375" style="3" bestFit="1" customWidth="1"/>
    <col min="3582" max="3582" width="26.85546875" style="3" customWidth="1"/>
    <col min="3583" max="3583" width="7.7109375" style="3" customWidth="1"/>
    <col min="3584" max="3584" width="9.85546875" style="3" customWidth="1"/>
    <col min="3585" max="3585" width="7" style="3" customWidth="1"/>
    <col min="3586" max="3586" width="10.85546875" style="3" customWidth="1"/>
    <col min="3587" max="3587" width="10.140625" style="3" customWidth="1"/>
    <col min="3588" max="3588" width="9.140625" style="3"/>
    <col min="3589" max="3589" width="11.7109375" style="3" customWidth="1"/>
    <col min="3590" max="3590" width="13.85546875" style="3" customWidth="1"/>
    <col min="3591" max="3836" width="9.140625" style="3"/>
    <col min="3837" max="3837" width="2.7109375" style="3" bestFit="1" customWidth="1"/>
    <col min="3838" max="3838" width="26.85546875" style="3" customWidth="1"/>
    <col min="3839" max="3839" width="7.7109375" style="3" customWidth="1"/>
    <col min="3840" max="3840" width="9.85546875" style="3" customWidth="1"/>
    <col min="3841" max="3841" width="7" style="3" customWidth="1"/>
    <col min="3842" max="3842" width="10.85546875" style="3" customWidth="1"/>
    <col min="3843" max="3843" width="10.140625" style="3" customWidth="1"/>
    <col min="3844" max="3844" width="9.140625" style="3"/>
    <col min="3845" max="3845" width="11.7109375" style="3" customWidth="1"/>
    <col min="3846" max="3846" width="13.85546875" style="3" customWidth="1"/>
    <col min="3847" max="4092" width="9.140625" style="3"/>
    <col min="4093" max="4093" width="2.7109375" style="3" bestFit="1" customWidth="1"/>
    <col min="4094" max="4094" width="26.85546875" style="3" customWidth="1"/>
    <col min="4095" max="4095" width="7.7109375" style="3" customWidth="1"/>
    <col min="4096" max="4096" width="9.85546875" style="3" customWidth="1"/>
    <col min="4097" max="4097" width="7" style="3" customWidth="1"/>
    <col min="4098" max="4098" width="10.85546875" style="3" customWidth="1"/>
    <col min="4099" max="4099" width="10.140625" style="3" customWidth="1"/>
    <col min="4100" max="4100" width="9.140625" style="3"/>
    <col min="4101" max="4101" width="11.7109375" style="3" customWidth="1"/>
    <col min="4102" max="4102" width="13.85546875" style="3" customWidth="1"/>
    <col min="4103" max="4348" width="9.140625" style="3"/>
    <col min="4349" max="4349" width="2.7109375" style="3" bestFit="1" customWidth="1"/>
    <col min="4350" max="4350" width="26.85546875" style="3" customWidth="1"/>
    <col min="4351" max="4351" width="7.7109375" style="3" customWidth="1"/>
    <col min="4352" max="4352" width="9.85546875" style="3" customWidth="1"/>
    <col min="4353" max="4353" width="7" style="3" customWidth="1"/>
    <col min="4354" max="4354" width="10.85546875" style="3" customWidth="1"/>
    <col min="4355" max="4355" width="10.140625" style="3" customWidth="1"/>
    <col min="4356" max="4356" width="9.140625" style="3"/>
    <col min="4357" max="4357" width="11.7109375" style="3" customWidth="1"/>
    <col min="4358" max="4358" width="13.85546875" style="3" customWidth="1"/>
    <col min="4359" max="4604" width="9.140625" style="3"/>
    <col min="4605" max="4605" width="2.7109375" style="3" bestFit="1" customWidth="1"/>
    <col min="4606" max="4606" width="26.85546875" style="3" customWidth="1"/>
    <col min="4607" max="4607" width="7.7109375" style="3" customWidth="1"/>
    <col min="4608" max="4608" width="9.85546875" style="3" customWidth="1"/>
    <col min="4609" max="4609" width="7" style="3" customWidth="1"/>
    <col min="4610" max="4610" width="10.85546875" style="3" customWidth="1"/>
    <col min="4611" max="4611" width="10.140625" style="3" customWidth="1"/>
    <col min="4612" max="4612" width="9.140625" style="3"/>
    <col min="4613" max="4613" width="11.7109375" style="3" customWidth="1"/>
    <col min="4614" max="4614" width="13.85546875" style="3" customWidth="1"/>
    <col min="4615" max="4860" width="9.140625" style="3"/>
    <col min="4861" max="4861" width="2.7109375" style="3" bestFit="1" customWidth="1"/>
    <col min="4862" max="4862" width="26.85546875" style="3" customWidth="1"/>
    <col min="4863" max="4863" width="7.7109375" style="3" customWidth="1"/>
    <col min="4864" max="4864" width="9.85546875" style="3" customWidth="1"/>
    <col min="4865" max="4865" width="7" style="3" customWidth="1"/>
    <col min="4866" max="4866" width="10.85546875" style="3" customWidth="1"/>
    <col min="4867" max="4867" width="10.140625" style="3" customWidth="1"/>
    <col min="4868" max="4868" width="9.140625" style="3"/>
    <col min="4869" max="4869" width="11.7109375" style="3" customWidth="1"/>
    <col min="4870" max="4870" width="13.85546875" style="3" customWidth="1"/>
    <col min="4871" max="5116" width="9.140625" style="3"/>
    <col min="5117" max="5117" width="2.7109375" style="3" bestFit="1" customWidth="1"/>
    <col min="5118" max="5118" width="26.85546875" style="3" customWidth="1"/>
    <col min="5119" max="5119" width="7.7109375" style="3" customWidth="1"/>
    <col min="5120" max="5120" width="9.85546875" style="3" customWidth="1"/>
    <col min="5121" max="5121" width="7" style="3" customWidth="1"/>
    <col min="5122" max="5122" width="10.85546875" style="3" customWidth="1"/>
    <col min="5123" max="5123" width="10.140625" style="3" customWidth="1"/>
    <col min="5124" max="5124" width="9.140625" style="3"/>
    <col min="5125" max="5125" width="11.7109375" style="3" customWidth="1"/>
    <col min="5126" max="5126" width="13.85546875" style="3" customWidth="1"/>
    <col min="5127" max="5372" width="9.140625" style="3"/>
    <col min="5373" max="5373" width="2.7109375" style="3" bestFit="1" customWidth="1"/>
    <col min="5374" max="5374" width="26.85546875" style="3" customWidth="1"/>
    <col min="5375" max="5375" width="7.7109375" style="3" customWidth="1"/>
    <col min="5376" max="5376" width="9.85546875" style="3" customWidth="1"/>
    <col min="5377" max="5377" width="7" style="3" customWidth="1"/>
    <col min="5378" max="5378" width="10.85546875" style="3" customWidth="1"/>
    <col min="5379" max="5379" width="10.140625" style="3" customWidth="1"/>
    <col min="5380" max="5380" width="9.140625" style="3"/>
    <col min="5381" max="5381" width="11.7109375" style="3" customWidth="1"/>
    <col min="5382" max="5382" width="13.85546875" style="3" customWidth="1"/>
    <col min="5383" max="5628" width="9.140625" style="3"/>
    <col min="5629" max="5629" width="2.7109375" style="3" bestFit="1" customWidth="1"/>
    <col min="5630" max="5630" width="26.85546875" style="3" customWidth="1"/>
    <col min="5631" max="5631" width="7.7109375" style="3" customWidth="1"/>
    <col min="5632" max="5632" width="9.85546875" style="3" customWidth="1"/>
    <col min="5633" max="5633" width="7" style="3" customWidth="1"/>
    <col min="5634" max="5634" width="10.85546875" style="3" customWidth="1"/>
    <col min="5635" max="5635" width="10.140625" style="3" customWidth="1"/>
    <col min="5636" max="5636" width="9.140625" style="3"/>
    <col min="5637" max="5637" width="11.7109375" style="3" customWidth="1"/>
    <col min="5638" max="5638" width="13.85546875" style="3" customWidth="1"/>
    <col min="5639" max="5884" width="9.140625" style="3"/>
    <col min="5885" max="5885" width="2.7109375" style="3" bestFit="1" customWidth="1"/>
    <col min="5886" max="5886" width="26.85546875" style="3" customWidth="1"/>
    <col min="5887" max="5887" width="7.7109375" style="3" customWidth="1"/>
    <col min="5888" max="5888" width="9.85546875" style="3" customWidth="1"/>
    <col min="5889" max="5889" width="7" style="3" customWidth="1"/>
    <col min="5890" max="5890" width="10.85546875" style="3" customWidth="1"/>
    <col min="5891" max="5891" width="10.140625" style="3" customWidth="1"/>
    <col min="5892" max="5892" width="9.140625" style="3"/>
    <col min="5893" max="5893" width="11.7109375" style="3" customWidth="1"/>
    <col min="5894" max="5894" width="13.85546875" style="3" customWidth="1"/>
    <col min="5895" max="6140" width="9.140625" style="3"/>
    <col min="6141" max="6141" width="2.7109375" style="3" bestFit="1" customWidth="1"/>
    <col min="6142" max="6142" width="26.85546875" style="3" customWidth="1"/>
    <col min="6143" max="6143" width="7.7109375" style="3" customWidth="1"/>
    <col min="6144" max="6144" width="9.85546875" style="3" customWidth="1"/>
    <col min="6145" max="6145" width="7" style="3" customWidth="1"/>
    <col min="6146" max="6146" width="10.85546875" style="3" customWidth="1"/>
    <col min="6147" max="6147" width="10.140625" style="3" customWidth="1"/>
    <col min="6148" max="6148" width="9.140625" style="3"/>
    <col min="6149" max="6149" width="11.7109375" style="3" customWidth="1"/>
    <col min="6150" max="6150" width="13.85546875" style="3" customWidth="1"/>
    <col min="6151" max="6396" width="9.140625" style="3"/>
    <col min="6397" max="6397" width="2.7109375" style="3" bestFit="1" customWidth="1"/>
    <col min="6398" max="6398" width="26.85546875" style="3" customWidth="1"/>
    <col min="6399" max="6399" width="7.7109375" style="3" customWidth="1"/>
    <col min="6400" max="6400" width="9.85546875" style="3" customWidth="1"/>
    <col min="6401" max="6401" width="7" style="3" customWidth="1"/>
    <col min="6402" max="6402" width="10.85546875" style="3" customWidth="1"/>
    <col min="6403" max="6403" width="10.140625" style="3" customWidth="1"/>
    <col min="6404" max="6404" width="9.140625" style="3"/>
    <col min="6405" max="6405" width="11.7109375" style="3" customWidth="1"/>
    <col min="6406" max="6406" width="13.85546875" style="3" customWidth="1"/>
    <col min="6407" max="6652" width="9.140625" style="3"/>
    <col min="6653" max="6653" width="2.7109375" style="3" bestFit="1" customWidth="1"/>
    <col min="6654" max="6654" width="26.85546875" style="3" customWidth="1"/>
    <col min="6655" max="6655" width="7.7109375" style="3" customWidth="1"/>
    <col min="6656" max="6656" width="9.85546875" style="3" customWidth="1"/>
    <col min="6657" max="6657" width="7" style="3" customWidth="1"/>
    <col min="6658" max="6658" width="10.85546875" style="3" customWidth="1"/>
    <col min="6659" max="6659" width="10.140625" style="3" customWidth="1"/>
    <col min="6660" max="6660" width="9.140625" style="3"/>
    <col min="6661" max="6661" width="11.7109375" style="3" customWidth="1"/>
    <col min="6662" max="6662" width="13.85546875" style="3" customWidth="1"/>
    <col min="6663" max="6908" width="9.140625" style="3"/>
    <col min="6909" max="6909" width="2.7109375" style="3" bestFit="1" customWidth="1"/>
    <col min="6910" max="6910" width="26.85546875" style="3" customWidth="1"/>
    <col min="6911" max="6911" width="7.7109375" style="3" customWidth="1"/>
    <col min="6912" max="6912" width="9.85546875" style="3" customWidth="1"/>
    <col min="6913" max="6913" width="7" style="3" customWidth="1"/>
    <col min="6914" max="6914" width="10.85546875" style="3" customWidth="1"/>
    <col min="6915" max="6915" width="10.140625" style="3" customWidth="1"/>
    <col min="6916" max="6916" width="9.140625" style="3"/>
    <col min="6917" max="6917" width="11.7109375" style="3" customWidth="1"/>
    <col min="6918" max="6918" width="13.85546875" style="3" customWidth="1"/>
    <col min="6919" max="7164" width="9.140625" style="3"/>
    <col min="7165" max="7165" width="2.7109375" style="3" bestFit="1" customWidth="1"/>
    <col min="7166" max="7166" width="26.85546875" style="3" customWidth="1"/>
    <col min="7167" max="7167" width="7.7109375" style="3" customWidth="1"/>
    <col min="7168" max="7168" width="9.85546875" style="3" customWidth="1"/>
    <col min="7169" max="7169" width="7" style="3" customWidth="1"/>
    <col min="7170" max="7170" width="10.85546875" style="3" customWidth="1"/>
    <col min="7171" max="7171" width="10.140625" style="3" customWidth="1"/>
    <col min="7172" max="7172" width="9.140625" style="3"/>
    <col min="7173" max="7173" width="11.7109375" style="3" customWidth="1"/>
    <col min="7174" max="7174" width="13.85546875" style="3" customWidth="1"/>
    <col min="7175" max="7420" width="9.140625" style="3"/>
    <col min="7421" max="7421" width="2.7109375" style="3" bestFit="1" customWidth="1"/>
    <col min="7422" max="7422" width="26.85546875" style="3" customWidth="1"/>
    <col min="7423" max="7423" width="7.7109375" style="3" customWidth="1"/>
    <col min="7424" max="7424" width="9.85546875" style="3" customWidth="1"/>
    <col min="7425" max="7425" width="7" style="3" customWidth="1"/>
    <col min="7426" max="7426" width="10.85546875" style="3" customWidth="1"/>
    <col min="7427" max="7427" width="10.140625" style="3" customWidth="1"/>
    <col min="7428" max="7428" width="9.140625" style="3"/>
    <col min="7429" max="7429" width="11.7109375" style="3" customWidth="1"/>
    <col min="7430" max="7430" width="13.85546875" style="3" customWidth="1"/>
    <col min="7431" max="7676" width="9.140625" style="3"/>
    <col min="7677" max="7677" width="2.7109375" style="3" bestFit="1" customWidth="1"/>
    <col min="7678" max="7678" width="26.85546875" style="3" customWidth="1"/>
    <col min="7679" max="7679" width="7.7109375" style="3" customWidth="1"/>
    <col min="7680" max="7680" width="9.85546875" style="3" customWidth="1"/>
    <col min="7681" max="7681" width="7" style="3" customWidth="1"/>
    <col min="7682" max="7682" width="10.85546875" style="3" customWidth="1"/>
    <col min="7683" max="7683" width="10.140625" style="3" customWidth="1"/>
    <col min="7684" max="7684" width="9.140625" style="3"/>
    <col min="7685" max="7685" width="11.7109375" style="3" customWidth="1"/>
    <col min="7686" max="7686" width="13.85546875" style="3" customWidth="1"/>
    <col min="7687" max="7932" width="9.140625" style="3"/>
    <col min="7933" max="7933" width="2.7109375" style="3" bestFit="1" customWidth="1"/>
    <col min="7934" max="7934" width="26.85546875" style="3" customWidth="1"/>
    <col min="7935" max="7935" width="7.7109375" style="3" customWidth="1"/>
    <col min="7936" max="7936" width="9.85546875" style="3" customWidth="1"/>
    <col min="7937" max="7937" width="7" style="3" customWidth="1"/>
    <col min="7938" max="7938" width="10.85546875" style="3" customWidth="1"/>
    <col min="7939" max="7939" width="10.140625" style="3" customWidth="1"/>
    <col min="7940" max="7940" width="9.140625" style="3"/>
    <col min="7941" max="7941" width="11.7109375" style="3" customWidth="1"/>
    <col min="7942" max="7942" width="13.85546875" style="3" customWidth="1"/>
    <col min="7943" max="8188" width="9.140625" style="3"/>
    <col min="8189" max="8189" width="2.7109375" style="3" bestFit="1" customWidth="1"/>
    <col min="8190" max="8190" width="26.85546875" style="3" customWidth="1"/>
    <col min="8191" max="8191" width="7.7109375" style="3" customWidth="1"/>
    <col min="8192" max="8192" width="9.85546875" style="3" customWidth="1"/>
    <col min="8193" max="8193" width="7" style="3" customWidth="1"/>
    <col min="8194" max="8194" width="10.85546875" style="3" customWidth="1"/>
    <col min="8195" max="8195" width="10.140625" style="3" customWidth="1"/>
    <col min="8196" max="8196" width="9.140625" style="3"/>
    <col min="8197" max="8197" width="11.7109375" style="3" customWidth="1"/>
    <col min="8198" max="8198" width="13.85546875" style="3" customWidth="1"/>
    <col min="8199" max="8444" width="9.140625" style="3"/>
    <col min="8445" max="8445" width="2.7109375" style="3" bestFit="1" customWidth="1"/>
    <col min="8446" max="8446" width="26.85546875" style="3" customWidth="1"/>
    <col min="8447" max="8447" width="7.7109375" style="3" customWidth="1"/>
    <col min="8448" max="8448" width="9.85546875" style="3" customWidth="1"/>
    <col min="8449" max="8449" width="7" style="3" customWidth="1"/>
    <col min="8450" max="8450" width="10.85546875" style="3" customWidth="1"/>
    <col min="8451" max="8451" width="10.140625" style="3" customWidth="1"/>
    <col min="8452" max="8452" width="9.140625" style="3"/>
    <col min="8453" max="8453" width="11.7109375" style="3" customWidth="1"/>
    <col min="8454" max="8454" width="13.85546875" style="3" customWidth="1"/>
    <col min="8455" max="8700" width="9.140625" style="3"/>
    <col min="8701" max="8701" width="2.7109375" style="3" bestFit="1" customWidth="1"/>
    <col min="8702" max="8702" width="26.85546875" style="3" customWidth="1"/>
    <col min="8703" max="8703" width="7.7109375" style="3" customWidth="1"/>
    <col min="8704" max="8704" width="9.85546875" style="3" customWidth="1"/>
    <col min="8705" max="8705" width="7" style="3" customWidth="1"/>
    <col min="8706" max="8706" width="10.85546875" style="3" customWidth="1"/>
    <col min="8707" max="8707" width="10.140625" style="3" customWidth="1"/>
    <col min="8708" max="8708" width="9.140625" style="3"/>
    <col min="8709" max="8709" width="11.7109375" style="3" customWidth="1"/>
    <col min="8710" max="8710" width="13.85546875" style="3" customWidth="1"/>
    <col min="8711" max="8956" width="9.140625" style="3"/>
    <col min="8957" max="8957" width="2.7109375" style="3" bestFit="1" customWidth="1"/>
    <col min="8958" max="8958" width="26.85546875" style="3" customWidth="1"/>
    <col min="8959" max="8959" width="7.7109375" style="3" customWidth="1"/>
    <col min="8960" max="8960" width="9.85546875" style="3" customWidth="1"/>
    <col min="8961" max="8961" width="7" style="3" customWidth="1"/>
    <col min="8962" max="8962" width="10.85546875" style="3" customWidth="1"/>
    <col min="8963" max="8963" width="10.140625" style="3" customWidth="1"/>
    <col min="8964" max="8964" width="9.140625" style="3"/>
    <col min="8965" max="8965" width="11.7109375" style="3" customWidth="1"/>
    <col min="8966" max="8966" width="13.85546875" style="3" customWidth="1"/>
    <col min="8967" max="9212" width="9.140625" style="3"/>
    <col min="9213" max="9213" width="2.7109375" style="3" bestFit="1" customWidth="1"/>
    <col min="9214" max="9214" width="26.85546875" style="3" customWidth="1"/>
    <col min="9215" max="9215" width="7.7109375" style="3" customWidth="1"/>
    <col min="9216" max="9216" width="9.85546875" style="3" customWidth="1"/>
    <col min="9217" max="9217" width="7" style="3" customWidth="1"/>
    <col min="9218" max="9218" width="10.85546875" style="3" customWidth="1"/>
    <col min="9219" max="9219" width="10.140625" style="3" customWidth="1"/>
    <col min="9220" max="9220" width="9.140625" style="3"/>
    <col min="9221" max="9221" width="11.7109375" style="3" customWidth="1"/>
    <col min="9222" max="9222" width="13.85546875" style="3" customWidth="1"/>
    <col min="9223" max="9468" width="9.140625" style="3"/>
    <col min="9469" max="9469" width="2.7109375" style="3" bestFit="1" customWidth="1"/>
    <col min="9470" max="9470" width="26.85546875" style="3" customWidth="1"/>
    <col min="9471" max="9471" width="7.7109375" style="3" customWidth="1"/>
    <col min="9472" max="9472" width="9.85546875" style="3" customWidth="1"/>
    <col min="9473" max="9473" width="7" style="3" customWidth="1"/>
    <col min="9474" max="9474" width="10.85546875" style="3" customWidth="1"/>
    <col min="9475" max="9475" width="10.140625" style="3" customWidth="1"/>
    <col min="9476" max="9476" width="9.140625" style="3"/>
    <col min="9477" max="9477" width="11.7109375" style="3" customWidth="1"/>
    <col min="9478" max="9478" width="13.85546875" style="3" customWidth="1"/>
    <col min="9479" max="9724" width="9.140625" style="3"/>
    <col min="9725" max="9725" width="2.7109375" style="3" bestFit="1" customWidth="1"/>
    <col min="9726" max="9726" width="26.85546875" style="3" customWidth="1"/>
    <col min="9727" max="9727" width="7.7109375" style="3" customWidth="1"/>
    <col min="9728" max="9728" width="9.85546875" style="3" customWidth="1"/>
    <col min="9729" max="9729" width="7" style="3" customWidth="1"/>
    <col min="9730" max="9730" width="10.85546875" style="3" customWidth="1"/>
    <col min="9731" max="9731" width="10.140625" style="3" customWidth="1"/>
    <col min="9732" max="9732" width="9.140625" style="3"/>
    <col min="9733" max="9733" width="11.7109375" style="3" customWidth="1"/>
    <col min="9734" max="9734" width="13.85546875" style="3" customWidth="1"/>
    <col min="9735" max="9980" width="9.140625" style="3"/>
    <col min="9981" max="9981" width="2.7109375" style="3" bestFit="1" customWidth="1"/>
    <col min="9982" max="9982" width="26.85546875" style="3" customWidth="1"/>
    <col min="9983" max="9983" width="7.7109375" style="3" customWidth="1"/>
    <col min="9984" max="9984" width="9.85546875" style="3" customWidth="1"/>
    <col min="9985" max="9985" width="7" style="3" customWidth="1"/>
    <col min="9986" max="9986" width="10.85546875" style="3" customWidth="1"/>
    <col min="9987" max="9987" width="10.140625" style="3" customWidth="1"/>
    <col min="9988" max="9988" width="9.140625" style="3"/>
    <col min="9989" max="9989" width="11.7109375" style="3" customWidth="1"/>
    <col min="9990" max="9990" width="13.85546875" style="3" customWidth="1"/>
    <col min="9991" max="10236" width="9.140625" style="3"/>
    <col min="10237" max="10237" width="2.7109375" style="3" bestFit="1" customWidth="1"/>
    <col min="10238" max="10238" width="26.85546875" style="3" customWidth="1"/>
    <col min="10239" max="10239" width="7.7109375" style="3" customWidth="1"/>
    <col min="10240" max="10240" width="9.85546875" style="3" customWidth="1"/>
    <col min="10241" max="10241" width="7" style="3" customWidth="1"/>
    <col min="10242" max="10242" width="10.85546875" style="3" customWidth="1"/>
    <col min="10243" max="10243" width="10.140625" style="3" customWidth="1"/>
    <col min="10244" max="10244" width="9.140625" style="3"/>
    <col min="10245" max="10245" width="11.7109375" style="3" customWidth="1"/>
    <col min="10246" max="10246" width="13.85546875" style="3" customWidth="1"/>
    <col min="10247" max="10492" width="9.140625" style="3"/>
    <col min="10493" max="10493" width="2.7109375" style="3" bestFit="1" customWidth="1"/>
    <col min="10494" max="10494" width="26.85546875" style="3" customWidth="1"/>
    <col min="10495" max="10495" width="7.7109375" style="3" customWidth="1"/>
    <col min="10496" max="10496" width="9.85546875" style="3" customWidth="1"/>
    <col min="10497" max="10497" width="7" style="3" customWidth="1"/>
    <col min="10498" max="10498" width="10.85546875" style="3" customWidth="1"/>
    <col min="10499" max="10499" width="10.140625" style="3" customWidth="1"/>
    <col min="10500" max="10500" width="9.140625" style="3"/>
    <col min="10501" max="10501" width="11.7109375" style="3" customWidth="1"/>
    <col min="10502" max="10502" width="13.85546875" style="3" customWidth="1"/>
    <col min="10503" max="10748" width="9.140625" style="3"/>
    <col min="10749" max="10749" width="2.7109375" style="3" bestFit="1" customWidth="1"/>
    <col min="10750" max="10750" width="26.85546875" style="3" customWidth="1"/>
    <col min="10751" max="10751" width="7.7109375" style="3" customWidth="1"/>
    <col min="10752" max="10752" width="9.85546875" style="3" customWidth="1"/>
    <col min="10753" max="10753" width="7" style="3" customWidth="1"/>
    <col min="10754" max="10754" width="10.85546875" style="3" customWidth="1"/>
    <col min="10755" max="10755" width="10.140625" style="3" customWidth="1"/>
    <col min="10756" max="10756" width="9.140625" style="3"/>
    <col min="10757" max="10757" width="11.7109375" style="3" customWidth="1"/>
    <col min="10758" max="10758" width="13.85546875" style="3" customWidth="1"/>
    <col min="10759" max="11004" width="9.140625" style="3"/>
    <col min="11005" max="11005" width="2.7109375" style="3" bestFit="1" customWidth="1"/>
    <col min="11006" max="11006" width="26.85546875" style="3" customWidth="1"/>
    <col min="11007" max="11007" width="7.7109375" style="3" customWidth="1"/>
    <col min="11008" max="11008" width="9.85546875" style="3" customWidth="1"/>
    <col min="11009" max="11009" width="7" style="3" customWidth="1"/>
    <col min="11010" max="11010" width="10.85546875" style="3" customWidth="1"/>
    <col min="11011" max="11011" width="10.140625" style="3" customWidth="1"/>
    <col min="11012" max="11012" width="9.140625" style="3"/>
    <col min="11013" max="11013" width="11.7109375" style="3" customWidth="1"/>
    <col min="11014" max="11014" width="13.85546875" style="3" customWidth="1"/>
    <col min="11015" max="11260" width="9.140625" style="3"/>
    <col min="11261" max="11261" width="2.7109375" style="3" bestFit="1" customWidth="1"/>
    <col min="11262" max="11262" width="26.85546875" style="3" customWidth="1"/>
    <col min="11263" max="11263" width="7.7109375" style="3" customWidth="1"/>
    <col min="11264" max="11264" width="9.85546875" style="3" customWidth="1"/>
    <col min="11265" max="11265" width="7" style="3" customWidth="1"/>
    <col min="11266" max="11266" width="10.85546875" style="3" customWidth="1"/>
    <col min="11267" max="11267" width="10.140625" style="3" customWidth="1"/>
    <col min="11268" max="11268" width="9.140625" style="3"/>
    <col min="11269" max="11269" width="11.7109375" style="3" customWidth="1"/>
    <col min="11270" max="11270" width="13.85546875" style="3" customWidth="1"/>
    <col min="11271" max="11516" width="9.140625" style="3"/>
    <col min="11517" max="11517" width="2.7109375" style="3" bestFit="1" customWidth="1"/>
    <col min="11518" max="11518" width="26.85546875" style="3" customWidth="1"/>
    <col min="11519" max="11519" width="7.7109375" style="3" customWidth="1"/>
    <col min="11520" max="11520" width="9.85546875" style="3" customWidth="1"/>
    <col min="11521" max="11521" width="7" style="3" customWidth="1"/>
    <col min="11522" max="11522" width="10.85546875" style="3" customWidth="1"/>
    <col min="11523" max="11523" width="10.140625" style="3" customWidth="1"/>
    <col min="11524" max="11524" width="9.140625" style="3"/>
    <col min="11525" max="11525" width="11.7109375" style="3" customWidth="1"/>
    <col min="11526" max="11526" width="13.85546875" style="3" customWidth="1"/>
    <col min="11527" max="11772" width="9.140625" style="3"/>
    <col min="11773" max="11773" width="2.7109375" style="3" bestFit="1" customWidth="1"/>
    <col min="11774" max="11774" width="26.85546875" style="3" customWidth="1"/>
    <col min="11775" max="11775" width="7.7109375" style="3" customWidth="1"/>
    <col min="11776" max="11776" width="9.85546875" style="3" customWidth="1"/>
    <col min="11777" max="11777" width="7" style="3" customWidth="1"/>
    <col min="11778" max="11778" width="10.85546875" style="3" customWidth="1"/>
    <col min="11779" max="11779" width="10.140625" style="3" customWidth="1"/>
    <col min="11780" max="11780" width="9.140625" style="3"/>
    <col min="11781" max="11781" width="11.7109375" style="3" customWidth="1"/>
    <col min="11782" max="11782" width="13.85546875" style="3" customWidth="1"/>
    <col min="11783" max="12028" width="9.140625" style="3"/>
    <col min="12029" max="12029" width="2.7109375" style="3" bestFit="1" customWidth="1"/>
    <col min="12030" max="12030" width="26.85546875" style="3" customWidth="1"/>
    <col min="12031" max="12031" width="7.7109375" style="3" customWidth="1"/>
    <col min="12032" max="12032" width="9.85546875" style="3" customWidth="1"/>
    <col min="12033" max="12033" width="7" style="3" customWidth="1"/>
    <col min="12034" max="12034" width="10.85546875" style="3" customWidth="1"/>
    <col min="12035" max="12035" width="10.140625" style="3" customWidth="1"/>
    <col min="12036" max="12036" width="9.140625" style="3"/>
    <col min="12037" max="12037" width="11.7109375" style="3" customWidth="1"/>
    <col min="12038" max="12038" width="13.85546875" style="3" customWidth="1"/>
    <col min="12039" max="12284" width="9.140625" style="3"/>
    <col min="12285" max="12285" width="2.7109375" style="3" bestFit="1" customWidth="1"/>
    <col min="12286" max="12286" width="26.85546875" style="3" customWidth="1"/>
    <col min="12287" max="12287" width="7.7109375" style="3" customWidth="1"/>
    <col min="12288" max="12288" width="9.85546875" style="3" customWidth="1"/>
    <col min="12289" max="12289" width="7" style="3" customWidth="1"/>
    <col min="12290" max="12290" width="10.85546875" style="3" customWidth="1"/>
    <col min="12291" max="12291" width="10.140625" style="3" customWidth="1"/>
    <col min="12292" max="12292" width="9.140625" style="3"/>
    <col min="12293" max="12293" width="11.7109375" style="3" customWidth="1"/>
    <col min="12294" max="12294" width="13.85546875" style="3" customWidth="1"/>
    <col min="12295" max="12540" width="9.140625" style="3"/>
    <col min="12541" max="12541" width="2.7109375" style="3" bestFit="1" customWidth="1"/>
    <col min="12542" max="12542" width="26.85546875" style="3" customWidth="1"/>
    <col min="12543" max="12543" width="7.7109375" style="3" customWidth="1"/>
    <col min="12544" max="12544" width="9.85546875" style="3" customWidth="1"/>
    <col min="12545" max="12545" width="7" style="3" customWidth="1"/>
    <col min="12546" max="12546" width="10.85546875" style="3" customWidth="1"/>
    <col min="12547" max="12547" width="10.140625" style="3" customWidth="1"/>
    <col min="12548" max="12548" width="9.140625" style="3"/>
    <col min="12549" max="12549" width="11.7109375" style="3" customWidth="1"/>
    <col min="12550" max="12550" width="13.85546875" style="3" customWidth="1"/>
    <col min="12551" max="12796" width="9.140625" style="3"/>
    <col min="12797" max="12797" width="2.7109375" style="3" bestFit="1" customWidth="1"/>
    <col min="12798" max="12798" width="26.85546875" style="3" customWidth="1"/>
    <col min="12799" max="12799" width="7.7109375" style="3" customWidth="1"/>
    <col min="12800" max="12800" width="9.85546875" style="3" customWidth="1"/>
    <col min="12801" max="12801" width="7" style="3" customWidth="1"/>
    <col min="12802" max="12802" width="10.85546875" style="3" customWidth="1"/>
    <col min="12803" max="12803" width="10.140625" style="3" customWidth="1"/>
    <col min="12804" max="12804" width="9.140625" style="3"/>
    <col min="12805" max="12805" width="11.7109375" style="3" customWidth="1"/>
    <col min="12806" max="12806" width="13.85546875" style="3" customWidth="1"/>
    <col min="12807" max="13052" width="9.140625" style="3"/>
    <col min="13053" max="13053" width="2.7109375" style="3" bestFit="1" customWidth="1"/>
    <col min="13054" max="13054" width="26.85546875" style="3" customWidth="1"/>
    <col min="13055" max="13055" width="7.7109375" style="3" customWidth="1"/>
    <col min="13056" max="13056" width="9.85546875" style="3" customWidth="1"/>
    <col min="13057" max="13057" width="7" style="3" customWidth="1"/>
    <col min="13058" max="13058" width="10.85546875" style="3" customWidth="1"/>
    <col min="13059" max="13059" width="10.140625" style="3" customWidth="1"/>
    <col min="13060" max="13060" width="9.140625" style="3"/>
    <col min="13061" max="13061" width="11.7109375" style="3" customWidth="1"/>
    <col min="13062" max="13062" width="13.85546875" style="3" customWidth="1"/>
    <col min="13063" max="13308" width="9.140625" style="3"/>
    <col min="13309" max="13309" width="2.7109375" style="3" bestFit="1" customWidth="1"/>
    <col min="13310" max="13310" width="26.85546875" style="3" customWidth="1"/>
    <col min="13311" max="13311" width="7.7109375" style="3" customWidth="1"/>
    <col min="13312" max="13312" width="9.85546875" style="3" customWidth="1"/>
    <col min="13313" max="13313" width="7" style="3" customWidth="1"/>
    <col min="13314" max="13314" width="10.85546875" style="3" customWidth="1"/>
    <col min="13315" max="13315" width="10.140625" style="3" customWidth="1"/>
    <col min="13316" max="13316" width="9.140625" style="3"/>
    <col min="13317" max="13317" width="11.7109375" style="3" customWidth="1"/>
    <col min="13318" max="13318" width="13.85546875" style="3" customWidth="1"/>
    <col min="13319" max="13564" width="9.140625" style="3"/>
    <col min="13565" max="13565" width="2.7109375" style="3" bestFit="1" customWidth="1"/>
    <col min="13566" max="13566" width="26.85546875" style="3" customWidth="1"/>
    <col min="13567" max="13567" width="7.7109375" style="3" customWidth="1"/>
    <col min="13568" max="13568" width="9.85546875" style="3" customWidth="1"/>
    <col min="13569" max="13569" width="7" style="3" customWidth="1"/>
    <col min="13570" max="13570" width="10.85546875" style="3" customWidth="1"/>
    <col min="13571" max="13571" width="10.140625" style="3" customWidth="1"/>
    <col min="13572" max="13572" width="9.140625" style="3"/>
    <col min="13573" max="13573" width="11.7109375" style="3" customWidth="1"/>
    <col min="13574" max="13574" width="13.85546875" style="3" customWidth="1"/>
    <col min="13575" max="13820" width="9.140625" style="3"/>
    <col min="13821" max="13821" width="2.7109375" style="3" bestFit="1" customWidth="1"/>
    <col min="13822" max="13822" width="26.85546875" style="3" customWidth="1"/>
    <col min="13823" max="13823" width="7.7109375" style="3" customWidth="1"/>
    <col min="13824" max="13824" width="9.85546875" style="3" customWidth="1"/>
    <col min="13825" max="13825" width="7" style="3" customWidth="1"/>
    <col min="13826" max="13826" width="10.85546875" style="3" customWidth="1"/>
    <col min="13827" max="13827" width="10.140625" style="3" customWidth="1"/>
    <col min="13828" max="13828" width="9.140625" style="3"/>
    <col min="13829" max="13829" width="11.7109375" style="3" customWidth="1"/>
    <col min="13830" max="13830" width="13.85546875" style="3" customWidth="1"/>
    <col min="13831" max="14076" width="9.140625" style="3"/>
    <col min="14077" max="14077" width="2.7109375" style="3" bestFit="1" customWidth="1"/>
    <col min="14078" max="14078" width="26.85546875" style="3" customWidth="1"/>
    <col min="14079" max="14079" width="7.7109375" style="3" customWidth="1"/>
    <col min="14080" max="14080" width="9.85546875" style="3" customWidth="1"/>
    <col min="14081" max="14081" width="7" style="3" customWidth="1"/>
    <col min="14082" max="14082" width="10.85546875" style="3" customWidth="1"/>
    <col min="14083" max="14083" width="10.140625" style="3" customWidth="1"/>
    <col min="14084" max="14084" width="9.140625" style="3"/>
    <col min="14085" max="14085" width="11.7109375" style="3" customWidth="1"/>
    <col min="14086" max="14086" width="13.85546875" style="3" customWidth="1"/>
    <col min="14087" max="14332" width="9.140625" style="3"/>
    <col min="14333" max="14333" width="2.7109375" style="3" bestFit="1" customWidth="1"/>
    <col min="14334" max="14334" width="26.85546875" style="3" customWidth="1"/>
    <col min="14335" max="14335" width="7.7109375" style="3" customWidth="1"/>
    <col min="14336" max="14336" width="9.85546875" style="3" customWidth="1"/>
    <col min="14337" max="14337" width="7" style="3" customWidth="1"/>
    <col min="14338" max="14338" width="10.85546875" style="3" customWidth="1"/>
    <col min="14339" max="14339" width="10.140625" style="3" customWidth="1"/>
    <col min="14340" max="14340" width="9.140625" style="3"/>
    <col min="14341" max="14341" width="11.7109375" style="3" customWidth="1"/>
    <col min="14342" max="14342" width="13.85546875" style="3" customWidth="1"/>
    <col min="14343" max="14588" width="9.140625" style="3"/>
    <col min="14589" max="14589" width="2.7109375" style="3" bestFit="1" customWidth="1"/>
    <col min="14590" max="14590" width="26.85546875" style="3" customWidth="1"/>
    <col min="14591" max="14591" width="7.7109375" style="3" customWidth="1"/>
    <col min="14592" max="14592" width="9.85546875" style="3" customWidth="1"/>
    <col min="14593" max="14593" width="7" style="3" customWidth="1"/>
    <col min="14594" max="14594" width="10.85546875" style="3" customWidth="1"/>
    <col min="14595" max="14595" width="10.140625" style="3" customWidth="1"/>
    <col min="14596" max="14596" width="9.140625" style="3"/>
    <col min="14597" max="14597" width="11.7109375" style="3" customWidth="1"/>
    <col min="14598" max="14598" width="13.85546875" style="3" customWidth="1"/>
    <col min="14599" max="14844" width="9.140625" style="3"/>
    <col min="14845" max="14845" width="2.7109375" style="3" bestFit="1" customWidth="1"/>
    <col min="14846" max="14846" width="26.85546875" style="3" customWidth="1"/>
    <col min="14847" max="14847" width="7.7109375" style="3" customWidth="1"/>
    <col min="14848" max="14848" width="9.85546875" style="3" customWidth="1"/>
    <col min="14849" max="14849" width="7" style="3" customWidth="1"/>
    <col min="14850" max="14850" width="10.85546875" style="3" customWidth="1"/>
    <col min="14851" max="14851" width="10.140625" style="3" customWidth="1"/>
    <col min="14852" max="14852" width="9.140625" style="3"/>
    <col min="14853" max="14853" width="11.7109375" style="3" customWidth="1"/>
    <col min="14854" max="14854" width="13.85546875" style="3" customWidth="1"/>
    <col min="14855" max="15100" width="9.140625" style="3"/>
    <col min="15101" max="15101" width="2.7109375" style="3" bestFit="1" customWidth="1"/>
    <col min="15102" max="15102" width="26.85546875" style="3" customWidth="1"/>
    <col min="15103" max="15103" width="7.7109375" style="3" customWidth="1"/>
    <col min="15104" max="15104" width="9.85546875" style="3" customWidth="1"/>
    <col min="15105" max="15105" width="7" style="3" customWidth="1"/>
    <col min="15106" max="15106" width="10.85546875" style="3" customWidth="1"/>
    <col min="15107" max="15107" width="10.140625" style="3" customWidth="1"/>
    <col min="15108" max="15108" width="9.140625" style="3"/>
    <col min="15109" max="15109" width="11.7109375" style="3" customWidth="1"/>
    <col min="15110" max="15110" width="13.85546875" style="3" customWidth="1"/>
    <col min="15111" max="15356" width="9.140625" style="3"/>
    <col min="15357" max="15357" width="2.7109375" style="3" bestFit="1" customWidth="1"/>
    <col min="15358" max="15358" width="26.85546875" style="3" customWidth="1"/>
    <col min="15359" max="15359" width="7.7109375" style="3" customWidth="1"/>
    <col min="15360" max="15360" width="9.85546875" style="3" customWidth="1"/>
    <col min="15361" max="15361" width="7" style="3" customWidth="1"/>
    <col min="15362" max="15362" width="10.85546875" style="3" customWidth="1"/>
    <col min="15363" max="15363" width="10.140625" style="3" customWidth="1"/>
    <col min="15364" max="15364" width="9.140625" style="3"/>
    <col min="15365" max="15365" width="11.7109375" style="3" customWidth="1"/>
    <col min="15366" max="15366" width="13.85546875" style="3" customWidth="1"/>
    <col min="15367" max="15612" width="9.140625" style="3"/>
    <col min="15613" max="15613" width="2.7109375" style="3" bestFit="1" customWidth="1"/>
    <col min="15614" max="15614" width="26.85546875" style="3" customWidth="1"/>
    <col min="15615" max="15615" width="7.7109375" style="3" customWidth="1"/>
    <col min="15616" max="15616" width="9.85546875" style="3" customWidth="1"/>
    <col min="15617" max="15617" width="7" style="3" customWidth="1"/>
    <col min="15618" max="15618" width="10.85546875" style="3" customWidth="1"/>
    <col min="15619" max="15619" width="10.140625" style="3" customWidth="1"/>
    <col min="15620" max="15620" width="9.140625" style="3"/>
    <col min="15621" max="15621" width="11.7109375" style="3" customWidth="1"/>
    <col min="15622" max="15622" width="13.85546875" style="3" customWidth="1"/>
    <col min="15623" max="15868" width="9.140625" style="3"/>
    <col min="15869" max="15869" width="2.7109375" style="3" bestFit="1" customWidth="1"/>
    <col min="15870" max="15870" width="26.85546875" style="3" customWidth="1"/>
    <col min="15871" max="15871" width="7.7109375" style="3" customWidth="1"/>
    <col min="15872" max="15872" width="9.85546875" style="3" customWidth="1"/>
    <col min="15873" max="15873" width="7" style="3" customWidth="1"/>
    <col min="15874" max="15874" width="10.85546875" style="3" customWidth="1"/>
    <col min="15875" max="15875" width="10.140625" style="3" customWidth="1"/>
    <col min="15876" max="15876" width="9.140625" style="3"/>
    <col min="15877" max="15877" width="11.7109375" style="3" customWidth="1"/>
    <col min="15878" max="15878" width="13.85546875" style="3" customWidth="1"/>
    <col min="15879" max="16124" width="9.140625" style="3"/>
    <col min="16125" max="16125" width="2.7109375" style="3" bestFit="1" customWidth="1"/>
    <col min="16126" max="16126" width="26.85546875" style="3" customWidth="1"/>
    <col min="16127" max="16127" width="7.7109375" style="3" customWidth="1"/>
    <col min="16128" max="16128" width="9.85546875" style="3" customWidth="1"/>
    <col min="16129" max="16129" width="7" style="3" customWidth="1"/>
    <col min="16130" max="16130" width="10.85546875" style="3" customWidth="1"/>
    <col min="16131" max="16131" width="10.140625" style="3" customWidth="1"/>
    <col min="16132" max="16132" width="9.140625" style="3"/>
    <col min="16133" max="16133" width="11.7109375" style="3" customWidth="1"/>
    <col min="16134" max="16134" width="13.85546875" style="3" customWidth="1"/>
    <col min="16135" max="16384" width="9.140625" style="3"/>
  </cols>
  <sheetData>
    <row r="1" spans="1:6" ht="13.5" customHeight="1" thickBot="1">
      <c r="B1" s="2" t="s">
        <v>0</v>
      </c>
      <c r="D1" s="470" t="s">
        <v>1</v>
      </c>
      <c r="E1" s="471"/>
      <c r="F1" s="81">
        <v>0</v>
      </c>
    </row>
    <row r="2" spans="1:6" ht="13.5" thickBot="1"/>
    <row r="3" spans="1:6">
      <c r="A3" s="472" t="s">
        <v>276</v>
      </c>
      <c r="B3" s="473"/>
      <c r="C3" s="473"/>
      <c r="D3" s="473"/>
      <c r="E3" s="465" t="s">
        <v>2</v>
      </c>
      <c r="F3" s="466"/>
    </row>
    <row r="4" spans="1:6" ht="51.75" thickBot="1">
      <c r="A4" s="372" t="s">
        <v>716</v>
      </c>
      <c r="B4" s="84" t="s">
        <v>3</v>
      </c>
      <c r="C4" s="84" t="s">
        <v>4</v>
      </c>
      <c r="D4" s="84" t="s">
        <v>5</v>
      </c>
      <c r="E4" s="85" t="s">
        <v>6</v>
      </c>
      <c r="F4" s="86" t="s">
        <v>7</v>
      </c>
    </row>
    <row r="5" spans="1:6" ht="13.5" thickTop="1">
      <c r="A5" s="11">
        <v>1</v>
      </c>
      <c r="B5" s="54" t="s">
        <v>8</v>
      </c>
      <c r="C5" s="87" t="s">
        <v>9</v>
      </c>
      <c r="D5" s="88">
        <v>1.23</v>
      </c>
      <c r="E5" s="89">
        <v>1.2</v>
      </c>
      <c r="F5" s="90">
        <f>E5*D5</f>
        <v>1.476</v>
      </c>
    </row>
    <row r="6" spans="1:6">
      <c r="A6" s="17"/>
      <c r="B6" s="91" t="s">
        <v>10</v>
      </c>
      <c r="C6" s="92"/>
      <c r="D6" s="93">
        <v>0.35</v>
      </c>
      <c r="E6" s="94">
        <v>300</v>
      </c>
      <c r="F6" s="90">
        <f t="shared" ref="F6:F26" si="0">E6*D6</f>
        <v>105</v>
      </c>
    </row>
    <row r="7" spans="1:6">
      <c r="A7" s="17">
        <v>2</v>
      </c>
      <c r="B7" s="95" t="s">
        <v>11</v>
      </c>
      <c r="C7" s="92" t="s">
        <v>9</v>
      </c>
      <c r="D7" s="88">
        <v>1.23</v>
      </c>
      <c r="E7" s="94">
        <v>1.1599999999999999</v>
      </c>
      <c r="F7" s="90">
        <f t="shared" si="0"/>
        <v>1.4267999999999998</v>
      </c>
    </row>
    <row r="8" spans="1:6">
      <c r="A8" s="17">
        <v>3</v>
      </c>
      <c r="B8" s="96" t="s">
        <v>12</v>
      </c>
      <c r="C8" s="92" t="s">
        <v>9</v>
      </c>
      <c r="D8" s="88">
        <v>1.23</v>
      </c>
      <c r="E8" s="94">
        <v>20.28</v>
      </c>
      <c r="F8" s="90">
        <f t="shared" si="0"/>
        <v>24.944400000000002</v>
      </c>
    </row>
    <row r="9" spans="1:6">
      <c r="A9" s="17">
        <v>4</v>
      </c>
      <c r="B9" s="91" t="s">
        <v>13</v>
      </c>
      <c r="C9" s="92" t="s">
        <v>9</v>
      </c>
      <c r="D9" s="88">
        <v>1.23</v>
      </c>
      <c r="E9" s="94">
        <v>3.78</v>
      </c>
      <c r="F9" s="90">
        <f t="shared" si="0"/>
        <v>4.6494</v>
      </c>
    </row>
    <row r="10" spans="1:6">
      <c r="A10" s="17">
        <v>5</v>
      </c>
      <c r="B10" s="91" t="s">
        <v>14</v>
      </c>
      <c r="C10" s="92" t="s">
        <v>9</v>
      </c>
      <c r="D10" s="88">
        <v>1.23</v>
      </c>
      <c r="E10" s="94">
        <v>2.2799999999999998</v>
      </c>
      <c r="F10" s="90">
        <f t="shared" si="0"/>
        <v>2.8043999999999998</v>
      </c>
    </row>
    <row r="11" spans="1:6">
      <c r="A11" s="17">
        <v>6</v>
      </c>
      <c r="B11" s="91" t="s">
        <v>15</v>
      </c>
      <c r="C11" s="92" t="s">
        <v>9</v>
      </c>
      <c r="D11" s="88">
        <v>1.23</v>
      </c>
      <c r="E11" s="94">
        <v>0.96</v>
      </c>
      <c r="F11" s="90">
        <f t="shared" si="0"/>
        <v>1.1807999999999998</v>
      </c>
    </row>
    <row r="12" spans="1:6">
      <c r="A12" s="17"/>
      <c r="B12" s="91" t="s">
        <v>16</v>
      </c>
      <c r="C12" s="92"/>
      <c r="D12" s="97">
        <v>0.4</v>
      </c>
      <c r="E12" s="94">
        <v>200</v>
      </c>
      <c r="F12" s="90">
        <f t="shared" si="0"/>
        <v>80</v>
      </c>
    </row>
    <row r="13" spans="1:6">
      <c r="A13" s="17">
        <v>7</v>
      </c>
      <c r="B13" s="91" t="s">
        <v>17</v>
      </c>
      <c r="C13" s="92" t="s">
        <v>9</v>
      </c>
      <c r="D13" s="88">
        <v>1.23</v>
      </c>
      <c r="E13" s="94">
        <v>3.36</v>
      </c>
      <c r="F13" s="90">
        <f t="shared" si="0"/>
        <v>4.1327999999999996</v>
      </c>
    </row>
    <row r="14" spans="1:6">
      <c r="A14" s="17">
        <v>8</v>
      </c>
      <c r="B14" s="54" t="s">
        <v>8</v>
      </c>
      <c r="C14" s="92" t="s">
        <v>18</v>
      </c>
      <c r="D14" s="88">
        <v>1.23</v>
      </c>
      <c r="E14" s="94">
        <v>0.84</v>
      </c>
      <c r="F14" s="90">
        <f t="shared" si="0"/>
        <v>1.0331999999999999</v>
      </c>
    </row>
    <row r="15" spans="1:6">
      <c r="A15" s="17"/>
      <c r="B15" s="91" t="s">
        <v>19</v>
      </c>
      <c r="C15" s="92"/>
      <c r="D15" s="97">
        <v>0.26</v>
      </c>
      <c r="E15" s="94">
        <v>200</v>
      </c>
      <c r="F15" s="90">
        <f t="shared" si="0"/>
        <v>52</v>
      </c>
    </row>
    <row r="16" spans="1:6">
      <c r="A16" s="17">
        <v>9</v>
      </c>
      <c r="B16" s="95" t="s">
        <v>11</v>
      </c>
      <c r="C16" s="92" t="s">
        <v>18</v>
      </c>
      <c r="D16" s="88">
        <v>1.23</v>
      </c>
      <c r="E16" s="94">
        <v>1.1599999999999999</v>
      </c>
      <c r="F16" s="90">
        <f t="shared" si="0"/>
        <v>1.4267999999999998</v>
      </c>
    </row>
    <row r="17" spans="1:7">
      <c r="A17" s="17">
        <v>10</v>
      </c>
      <c r="B17" s="96" t="s">
        <v>47</v>
      </c>
      <c r="C17" s="92" t="s">
        <v>21</v>
      </c>
      <c r="D17" s="88">
        <v>1.23</v>
      </c>
      <c r="E17" s="94">
        <f>0.96*2</f>
        <v>1.92</v>
      </c>
      <c r="F17" s="90">
        <f t="shared" si="0"/>
        <v>2.3615999999999997</v>
      </c>
    </row>
    <row r="18" spans="1:7">
      <c r="A18" s="17">
        <v>11</v>
      </c>
      <c r="B18" s="96" t="s">
        <v>48</v>
      </c>
      <c r="C18" s="92" t="s">
        <v>21</v>
      </c>
      <c r="D18" s="88">
        <v>1.23</v>
      </c>
      <c r="E18" s="94">
        <f>2*0.92</f>
        <v>1.84</v>
      </c>
      <c r="F18" s="90">
        <f t="shared" si="0"/>
        <v>2.2631999999999999</v>
      </c>
    </row>
    <row r="19" spans="1:7">
      <c r="A19" s="17"/>
      <c r="B19" s="96" t="s">
        <v>23</v>
      </c>
      <c r="C19" s="92"/>
      <c r="D19" s="98"/>
      <c r="E19" s="94">
        <v>0.01</v>
      </c>
      <c r="F19" s="90">
        <f t="shared" si="0"/>
        <v>0</v>
      </c>
    </row>
    <row r="20" spans="1:7">
      <c r="A20" s="17"/>
      <c r="B20" s="96" t="s">
        <v>616</v>
      </c>
      <c r="C20" s="92"/>
      <c r="D20" s="99">
        <v>94.28</v>
      </c>
      <c r="E20" s="94">
        <v>0.15</v>
      </c>
      <c r="F20" s="90">
        <f t="shared" si="0"/>
        <v>14.141999999999999</v>
      </c>
    </row>
    <row r="21" spans="1:7">
      <c r="A21" s="17"/>
      <c r="B21" s="96" t="s">
        <v>608</v>
      </c>
      <c r="C21" s="92"/>
      <c r="D21" s="97"/>
      <c r="E21" s="94">
        <v>0</v>
      </c>
      <c r="F21" s="90">
        <f t="shared" si="0"/>
        <v>0</v>
      </c>
    </row>
    <row r="22" spans="1:7" s="43" customFormat="1">
      <c r="A22" s="100"/>
      <c r="B22" s="95" t="s">
        <v>617</v>
      </c>
      <c r="C22" s="101"/>
      <c r="D22" s="99">
        <v>41.26</v>
      </c>
      <c r="E22" s="102">
        <v>0.6</v>
      </c>
      <c r="F22" s="103">
        <f t="shared" si="0"/>
        <v>24.755999999999997</v>
      </c>
    </row>
    <row r="23" spans="1:7">
      <c r="A23" s="17">
        <v>12</v>
      </c>
      <c r="B23" s="96" t="s">
        <v>25</v>
      </c>
      <c r="C23" s="92" t="s">
        <v>26</v>
      </c>
      <c r="D23" s="104"/>
      <c r="E23" s="94">
        <v>0</v>
      </c>
      <c r="F23" s="90">
        <f t="shared" si="0"/>
        <v>0</v>
      </c>
    </row>
    <row r="24" spans="1:7">
      <c r="A24" s="17">
        <v>13</v>
      </c>
      <c r="B24" s="96" t="s">
        <v>27</v>
      </c>
      <c r="C24" s="92" t="s">
        <v>26</v>
      </c>
      <c r="D24" s="88">
        <v>1.23</v>
      </c>
      <c r="E24" s="94">
        <v>8</v>
      </c>
      <c r="F24" s="90">
        <f t="shared" si="0"/>
        <v>9.84</v>
      </c>
    </row>
    <row r="25" spans="1:7">
      <c r="A25" s="17">
        <v>14</v>
      </c>
      <c r="B25" s="96" t="s">
        <v>28</v>
      </c>
      <c r="C25" s="92" t="s">
        <v>26</v>
      </c>
      <c r="D25" s="88">
        <v>1.23</v>
      </c>
      <c r="E25" s="94">
        <v>0</v>
      </c>
      <c r="F25" s="90">
        <f t="shared" si="0"/>
        <v>0</v>
      </c>
    </row>
    <row r="26" spans="1:7" ht="13.5" thickBot="1">
      <c r="A26" s="30">
        <v>15</v>
      </c>
      <c r="B26" s="105" t="s">
        <v>29</v>
      </c>
      <c r="C26" s="106" t="s">
        <v>26</v>
      </c>
      <c r="D26" s="208">
        <v>1.23</v>
      </c>
      <c r="E26" s="108">
        <v>18</v>
      </c>
      <c r="F26" s="109">
        <f t="shared" si="0"/>
        <v>22.14</v>
      </c>
    </row>
    <row r="27" spans="1:7" ht="12.75" customHeight="1">
      <c r="A27" s="479" t="s">
        <v>30</v>
      </c>
      <c r="B27" s="474"/>
      <c r="C27" s="110"/>
      <c r="D27" s="111"/>
      <c r="E27" s="112"/>
      <c r="F27" s="113">
        <f>SUM(F5:F26)</f>
        <v>355.5773999999999</v>
      </c>
      <c r="G27" s="114">
        <f>F1*F27</f>
        <v>0</v>
      </c>
    </row>
    <row r="28" spans="1:7" ht="13.5" customHeight="1" thickBot="1">
      <c r="A28" s="467" t="s">
        <v>31</v>
      </c>
      <c r="B28" s="468"/>
      <c r="C28" s="469"/>
      <c r="D28" s="115"/>
      <c r="E28" s="116">
        <f>E5+E7+E8+E9+E10+E11+E13+E14+E16+E17+E18+E24+E26</f>
        <v>64.78</v>
      </c>
      <c r="F28" s="117"/>
      <c r="G28" s="118" t="s">
        <v>277</v>
      </c>
    </row>
    <row r="29" spans="1:7" ht="13.5" thickBot="1"/>
    <row r="30" spans="1:7" ht="11.25" customHeight="1">
      <c r="A30" s="456" t="s">
        <v>652</v>
      </c>
      <c r="B30" s="457"/>
      <c r="C30" s="457"/>
      <c r="D30" s="457"/>
      <c r="E30" s="457"/>
      <c r="F30" s="458"/>
    </row>
    <row r="31" spans="1:7" ht="11.25" customHeight="1">
      <c r="A31" s="459"/>
      <c r="B31" s="460"/>
      <c r="C31" s="460"/>
      <c r="D31" s="460"/>
      <c r="E31" s="460"/>
      <c r="F31" s="461"/>
    </row>
    <row r="32" spans="1:7" ht="11.25" customHeight="1">
      <c r="A32" s="459"/>
      <c r="B32" s="460"/>
      <c r="C32" s="460"/>
      <c r="D32" s="460"/>
      <c r="E32" s="460"/>
      <c r="F32" s="461"/>
    </row>
    <row r="33" spans="1:6" ht="11.25" customHeight="1">
      <c r="A33" s="459"/>
      <c r="B33" s="460"/>
      <c r="C33" s="460"/>
      <c r="D33" s="460"/>
      <c r="E33" s="460"/>
      <c r="F33" s="461"/>
    </row>
    <row r="34" spans="1:6" ht="11.25" customHeight="1" thickBot="1">
      <c r="A34" s="462"/>
      <c r="B34" s="463"/>
      <c r="C34" s="463"/>
      <c r="D34" s="463"/>
      <c r="E34" s="463"/>
      <c r="F34" s="464"/>
    </row>
    <row r="35" spans="1:6" ht="13.5" thickBot="1"/>
    <row r="36" spans="1:6" ht="12.75" customHeight="1" thickBot="1">
      <c r="B36" s="2" t="s">
        <v>33</v>
      </c>
      <c r="D36" s="470" t="s">
        <v>1</v>
      </c>
      <c r="E36" s="471"/>
      <c r="F36" s="81">
        <v>0</v>
      </c>
    </row>
    <row r="37" spans="1:6" ht="13.5" thickBot="1"/>
    <row r="38" spans="1:6" ht="11.25" customHeight="1">
      <c r="A38" s="472" t="s">
        <v>276</v>
      </c>
      <c r="B38" s="473"/>
      <c r="C38" s="473"/>
      <c r="D38" s="473"/>
      <c r="E38" s="465" t="s">
        <v>2</v>
      </c>
      <c r="F38" s="466"/>
    </row>
    <row r="39" spans="1:6" ht="51.75" thickBot="1">
      <c r="A39" s="372" t="s">
        <v>716</v>
      </c>
      <c r="B39" s="84" t="s">
        <v>3</v>
      </c>
      <c r="C39" s="84" t="s">
        <v>4</v>
      </c>
      <c r="D39" s="84" t="s">
        <v>5</v>
      </c>
      <c r="E39" s="85" t="s">
        <v>6</v>
      </c>
      <c r="F39" s="86" t="s">
        <v>7</v>
      </c>
    </row>
    <row r="40" spans="1:6" ht="13.5" thickTop="1">
      <c r="A40" s="119">
        <v>1</v>
      </c>
      <c r="B40" s="54" t="s">
        <v>8</v>
      </c>
      <c r="C40" s="120" t="s">
        <v>9</v>
      </c>
      <c r="D40" s="88">
        <v>1.23</v>
      </c>
      <c r="E40" s="121">
        <v>1.2</v>
      </c>
      <c r="F40" s="90">
        <f>E40*D40</f>
        <v>1.476</v>
      </c>
    </row>
    <row r="41" spans="1:6">
      <c r="A41" s="17"/>
      <c r="B41" s="91" t="s">
        <v>10</v>
      </c>
      <c r="C41" s="92"/>
      <c r="D41" s="93">
        <v>0.35</v>
      </c>
      <c r="E41" s="94">
        <v>300</v>
      </c>
      <c r="F41" s="122">
        <f t="shared" ref="F41:F61" si="1">E41*D41</f>
        <v>105</v>
      </c>
    </row>
    <row r="42" spans="1:6">
      <c r="A42" s="17">
        <v>2</v>
      </c>
      <c r="B42" s="95" t="s">
        <v>11</v>
      </c>
      <c r="C42" s="92" t="s">
        <v>9</v>
      </c>
      <c r="D42" s="88">
        <v>1.23</v>
      </c>
      <c r="E42" s="94">
        <v>1.1599999999999999</v>
      </c>
      <c r="F42" s="122">
        <f t="shared" si="1"/>
        <v>1.4267999999999998</v>
      </c>
    </row>
    <row r="43" spans="1:6">
      <c r="A43" s="17">
        <v>3</v>
      </c>
      <c r="B43" s="96" t="s">
        <v>12</v>
      </c>
      <c r="C43" s="92" t="s">
        <v>9</v>
      </c>
      <c r="D43" s="88">
        <v>1.23</v>
      </c>
      <c r="E43" s="94">
        <v>20.28</v>
      </c>
      <c r="F43" s="122">
        <f t="shared" si="1"/>
        <v>24.944400000000002</v>
      </c>
    </row>
    <row r="44" spans="1:6">
      <c r="A44" s="17">
        <v>4</v>
      </c>
      <c r="B44" s="91" t="s">
        <v>13</v>
      </c>
      <c r="C44" s="92" t="s">
        <v>9</v>
      </c>
      <c r="D44" s="88">
        <v>1.23</v>
      </c>
      <c r="E44" s="94">
        <v>3.78</v>
      </c>
      <c r="F44" s="122">
        <f t="shared" si="1"/>
        <v>4.6494</v>
      </c>
    </row>
    <row r="45" spans="1:6">
      <c r="A45" s="17">
        <v>5</v>
      </c>
      <c r="B45" s="91" t="s">
        <v>14</v>
      </c>
      <c r="C45" s="92" t="s">
        <v>9</v>
      </c>
      <c r="D45" s="88">
        <v>1.23</v>
      </c>
      <c r="E45" s="94">
        <v>2.2799999999999998</v>
      </c>
      <c r="F45" s="122">
        <f t="shared" si="1"/>
        <v>2.8043999999999998</v>
      </c>
    </row>
    <row r="46" spans="1:6">
      <c r="A46" s="17">
        <v>6</v>
      </c>
      <c r="B46" s="91" t="s">
        <v>15</v>
      </c>
      <c r="C46" s="92" t="s">
        <v>9</v>
      </c>
      <c r="D46" s="88">
        <v>1.23</v>
      </c>
      <c r="E46" s="94">
        <v>1.2</v>
      </c>
      <c r="F46" s="122">
        <f t="shared" si="1"/>
        <v>1.476</v>
      </c>
    </row>
    <row r="47" spans="1:6">
      <c r="A47" s="17"/>
      <c r="B47" s="91" t="s">
        <v>16</v>
      </c>
      <c r="C47" s="92"/>
      <c r="D47" s="97">
        <v>0.44</v>
      </c>
      <c r="E47" s="94">
        <v>280</v>
      </c>
      <c r="F47" s="122">
        <f t="shared" si="1"/>
        <v>123.2</v>
      </c>
    </row>
    <row r="48" spans="1:6">
      <c r="A48" s="17">
        <v>7</v>
      </c>
      <c r="B48" s="91" t="s">
        <v>17</v>
      </c>
      <c r="C48" s="92" t="s">
        <v>9</v>
      </c>
      <c r="D48" s="88">
        <v>1.23</v>
      </c>
      <c r="E48" s="94">
        <v>3.36</v>
      </c>
      <c r="F48" s="122">
        <f t="shared" si="1"/>
        <v>4.1327999999999996</v>
      </c>
    </row>
    <row r="49" spans="1:7">
      <c r="A49" s="17">
        <v>8</v>
      </c>
      <c r="B49" s="54" t="s">
        <v>8</v>
      </c>
      <c r="C49" s="92" t="s">
        <v>18</v>
      </c>
      <c r="D49" s="88">
        <v>1.23</v>
      </c>
      <c r="E49" s="94">
        <v>0.84</v>
      </c>
      <c r="F49" s="122">
        <f t="shared" si="1"/>
        <v>1.0331999999999999</v>
      </c>
    </row>
    <row r="50" spans="1:7">
      <c r="A50" s="17"/>
      <c r="B50" s="91" t="s">
        <v>19</v>
      </c>
      <c r="C50" s="92"/>
      <c r="D50" s="97">
        <v>0.26</v>
      </c>
      <c r="E50" s="94">
        <v>200</v>
      </c>
      <c r="F50" s="122">
        <f t="shared" si="1"/>
        <v>52</v>
      </c>
    </row>
    <row r="51" spans="1:7">
      <c r="A51" s="17">
        <v>9</v>
      </c>
      <c r="B51" s="95" t="s">
        <v>11</v>
      </c>
      <c r="C51" s="92" t="s">
        <v>18</v>
      </c>
      <c r="D51" s="88">
        <v>1.23</v>
      </c>
      <c r="E51" s="94">
        <v>1.1599999999999999</v>
      </c>
      <c r="F51" s="122">
        <f t="shared" si="1"/>
        <v>1.4267999999999998</v>
      </c>
    </row>
    <row r="52" spans="1:7">
      <c r="A52" s="17">
        <v>10</v>
      </c>
      <c r="B52" s="96" t="s">
        <v>47</v>
      </c>
      <c r="C52" s="92" t="s">
        <v>21</v>
      </c>
      <c r="D52" s="88">
        <v>1.23</v>
      </c>
      <c r="E52" s="94">
        <f>0.96*2</f>
        <v>1.92</v>
      </c>
      <c r="F52" s="122">
        <f t="shared" si="1"/>
        <v>2.3615999999999997</v>
      </c>
    </row>
    <row r="53" spans="1:7">
      <c r="A53" s="17">
        <v>11</v>
      </c>
      <c r="B53" s="96" t="s">
        <v>48</v>
      </c>
      <c r="C53" s="92" t="s">
        <v>21</v>
      </c>
      <c r="D53" s="88">
        <v>1.23</v>
      </c>
      <c r="E53" s="94">
        <f>0.92*2</f>
        <v>1.84</v>
      </c>
      <c r="F53" s="122">
        <f t="shared" si="1"/>
        <v>2.2631999999999999</v>
      </c>
    </row>
    <row r="54" spans="1:7">
      <c r="A54" s="17"/>
      <c r="B54" s="96" t="s">
        <v>23</v>
      </c>
      <c r="C54" s="92"/>
      <c r="D54" s="98"/>
      <c r="E54" s="94">
        <v>0.01</v>
      </c>
      <c r="F54" s="122">
        <f t="shared" si="1"/>
        <v>0</v>
      </c>
    </row>
    <row r="55" spans="1:7">
      <c r="A55" s="17"/>
      <c r="B55" s="96" t="s">
        <v>616</v>
      </c>
      <c r="C55" s="92"/>
      <c r="D55" s="99">
        <v>94.28</v>
      </c>
      <c r="E55" s="94">
        <v>0.15</v>
      </c>
      <c r="F55" s="90">
        <f t="shared" si="1"/>
        <v>14.141999999999999</v>
      </c>
    </row>
    <row r="56" spans="1:7">
      <c r="A56" s="17"/>
      <c r="B56" s="96" t="s">
        <v>608</v>
      </c>
      <c r="C56" s="92"/>
      <c r="D56" s="97"/>
      <c r="E56" s="94">
        <v>0</v>
      </c>
      <c r="F56" s="122">
        <f t="shared" si="1"/>
        <v>0</v>
      </c>
    </row>
    <row r="57" spans="1:7" s="43" customFormat="1">
      <c r="A57" s="100"/>
      <c r="B57" s="95" t="s">
        <v>645</v>
      </c>
      <c r="C57" s="101"/>
      <c r="D57" s="99">
        <v>44.41</v>
      </c>
      <c r="E57" s="102">
        <v>0.5</v>
      </c>
      <c r="F57" s="103">
        <f t="shared" si="1"/>
        <v>22.204999999999998</v>
      </c>
    </row>
    <row r="58" spans="1:7">
      <c r="A58" s="17">
        <v>12</v>
      </c>
      <c r="B58" s="96" t="s">
        <v>25</v>
      </c>
      <c r="C58" s="92" t="s">
        <v>34</v>
      </c>
      <c r="D58" s="104"/>
      <c r="E58" s="94">
        <v>0</v>
      </c>
      <c r="F58" s="122">
        <f t="shared" si="1"/>
        <v>0</v>
      </c>
    </row>
    <row r="59" spans="1:7">
      <c r="A59" s="17">
        <v>13</v>
      </c>
      <c r="B59" s="96" t="s">
        <v>35</v>
      </c>
      <c r="C59" s="92" t="s">
        <v>34</v>
      </c>
      <c r="D59" s="88">
        <v>1.23</v>
      </c>
      <c r="E59" s="94">
        <v>10</v>
      </c>
      <c r="F59" s="122">
        <f t="shared" si="1"/>
        <v>12.3</v>
      </c>
    </row>
    <row r="60" spans="1:7">
      <c r="A60" s="17">
        <v>14</v>
      </c>
      <c r="B60" s="96" t="s">
        <v>28</v>
      </c>
      <c r="C60" s="92" t="s">
        <v>34</v>
      </c>
      <c r="D60" s="104"/>
      <c r="E60" s="94">
        <v>0</v>
      </c>
      <c r="F60" s="122">
        <f t="shared" si="1"/>
        <v>0</v>
      </c>
    </row>
    <row r="61" spans="1:7" ht="13.5" thickBot="1">
      <c r="A61" s="30">
        <v>15</v>
      </c>
      <c r="B61" s="105" t="s">
        <v>29</v>
      </c>
      <c r="C61" s="106" t="s">
        <v>34</v>
      </c>
      <c r="D61" s="208">
        <v>1.23</v>
      </c>
      <c r="E61" s="108">
        <v>24</v>
      </c>
      <c r="F61" s="109">
        <f t="shared" si="1"/>
        <v>29.52</v>
      </c>
    </row>
    <row r="62" spans="1:7" ht="12.75" customHeight="1">
      <c r="A62" s="454" t="s">
        <v>30</v>
      </c>
      <c r="B62" s="455"/>
      <c r="C62" s="110"/>
      <c r="D62" s="111"/>
      <c r="E62" s="123"/>
      <c r="F62" s="124">
        <f>SUM(F40:F61)</f>
        <v>406.36159999999995</v>
      </c>
      <c r="G62" s="114">
        <f>F36*F62</f>
        <v>0</v>
      </c>
    </row>
    <row r="63" spans="1:7" ht="13.5" customHeight="1" thickBot="1">
      <c r="A63" s="467" t="s">
        <v>31</v>
      </c>
      <c r="B63" s="468"/>
      <c r="C63" s="469"/>
      <c r="D63" s="115"/>
      <c r="E63" s="116">
        <f>E40+E42+E43+E44+E45+E46+E48+E49+E51+E52+E53+E59+E61</f>
        <v>73.02000000000001</v>
      </c>
      <c r="F63" s="125"/>
      <c r="G63" s="118" t="s">
        <v>277</v>
      </c>
    </row>
    <row r="64" spans="1:7" ht="13.5" thickBot="1"/>
    <row r="65" spans="1:6" ht="11.25" customHeight="1">
      <c r="A65" s="456" t="s">
        <v>653</v>
      </c>
      <c r="B65" s="457"/>
      <c r="C65" s="457"/>
      <c r="D65" s="457"/>
      <c r="E65" s="457"/>
      <c r="F65" s="458"/>
    </row>
    <row r="66" spans="1:6" ht="11.25" customHeight="1">
      <c r="A66" s="459"/>
      <c r="B66" s="460"/>
      <c r="C66" s="460"/>
      <c r="D66" s="460"/>
      <c r="E66" s="460"/>
      <c r="F66" s="461"/>
    </row>
    <row r="67" spans="1:6" ht="11.25" customHeight="1" thickBot="1">
      <c r="A67" s="462"/>
      <c r="B67" s="463"/>
      <c r="C67" s="463"/>
      <c r="D67" s="463"/>
      <c r="E67" s="463"/>
      <c r="F67" s="464"/>
    </row>
    <row r="68" spans="1:6" ht="12.75" customHeight="1" thickBot="1">
      <c r="D68" s="126"/>
      <c r="E68" s="127"/>
    </row>
    <row r="69" spans="1:6" ht="12.75" customHeight="1" thickBot="1">
      <c r="B69" s="2" t="s">
        <v>36</v>
      </c>
      <c r="D69" s="470" t="s">
        <v>1</v>
      </c>
      <c r="E69" s="471"/>
      <c r="F69" s="81">
        <v>0</v>
      </c>
    </row>
    <row r="70" spans="1:6" ht="13.5" thickBot="1"/>
    <row r="71" spans="1:6" ht="11.25" customHeight="1">
      <c r="A71" s="472" t="s">
        <v>276</v>
      </c>
      <c r="B71" s="473"/>
      <c r="C71" s="473"/>
      <c r="D71" s="473"/>
      <c r="E71" s="465" t="s">
        <v>2</v>
      </c>
      <c r="F71" s="466"/>
    </row>
    <row r="72" spans="1:6" ht="51.75" thickBot="1">
      <c r="A72" s="372" t="s">
        <v>716</v>
      </c>
      <c r="B72" s="84" t="s">
        <v>3</v>
      </c>
      <c r="C72" s="84" t="s">
        <v>4</v>
      </c>
      <c r="D72" s="84" t="s">
        <v>5</v>
      </c>
      <c r="E72" s="85" t="s">
        <v>6</v>
      </c>
      <c r="F72" s="86" t="s">
        <v>7</v>
      </c>
    </row>
    <row r="73" spans="1:6" ht="13.5" thickTop="1">
      <c r="A73" s="119">
        <v>1</v>
      </c>
      <c r="B73" s="54" t="s">
        <v>8</v>
      </c>
      <c r="C73" s="120" t="s">
        <v>9</v>
      </c>
      <c r="D73" s="88">
        <v>1.23</v>
      </c>
      <c r="E73" s="121">
        <v>1.2</v>
      </c>
      <c r="F73" s="128">
        <f>E73*D73</f>
        <v>1.476</v>
      </c>
    </row>
    <row r="74" spans="1:6">
      <c r="A74" s="17"/>
      <c r="B74" s="91" t="s">
        <v>10</v>
      </c>
      <c r="C74" s="92"/>
      <c r="D74" s="93">
        <v>0.35</v>
      </c>
      <c r="E74" s="94">
        <v>300</v>
      </c>
      <c r="F74" s="122">
        <f>E74*D74</f>
        <v>105</v>
      </c>
    </row>
    <row r="75" spans="1:6">
      <c r="A75" s="17">
        <v>2</v>
      </c>
      <c r="B75" s="95" t="s">
        <v>11</v>
      </c>
      <c r="C75" s="92" t="s">
        <v>9</v>
      </c>
      <c r="D75" s="88">
        <v>1.23</v>
      </c>
      <c r="E75" s="94">
        <v>1.1599999999999999</v>
      </c>
      <c r="F75" s="122">
        <f t="shared" ref="F75:F94" si="2">E75*D75</f>
        <v>1.4267999999999998</v>
      </c>
    </row>
    <row r="76" spans="1:6">
      <c r="A76" s="17">
        <v>3</v>
      </c>
      <c r="B76" s="96" t="s">
        <v>12</v>
      </c>
      <c r="C76" s="92" t="s">
        <v>9</v>
      </c>
      <c r="D76" s="88">
        <v>1.23</v>
      </c>
      <c r="E76" s="94">
        <v>20.28</v>
      </c>
      <c r="F76" s="122">
        <f t="shared" si="2"/>
        <v>24.944400000000002</v>
      </c>
    </row>
    <row r="77" spans="1:6">
      <c r="A77" s="17">
        <v>4</v>
      </c>
      <c r="B77" s="91" t="s">
        <v>13</v>
      </c>
      <c r="C77" s="92" t="s">
        <v>9</v>
      </c>
      <c r="D77" s="88">
        <v>1.23</v>
      </c>
      <c r="E77" s="94">
        <v>3.78</v>
      </c>
      <c r="F77" s="122">
        <f t="shared" si="2"/>
        <v>4.6494</v>
      </c>
    </row>
    <row r="78" spans="1:6">
      <c r="A78" s="17">
        <v>5</v>
      </c>
      <c r="B78" s="91" t="s">
        <v>14</v>
      </c>
      <c r="C78" s="92" t="s">
        <v>9</v>
      </c>
      <c r="D78" s="88">
        <v>1.23</v>
      </c>
      <c r="E78" s="94">
        <v>2.2799999999999998</v>
      </c>
      <c r="F78" s="122">
        <f t="shared" si="2"/>
        <v>2.8043999999999998</v>
      </c>
    </row>
    <row r="79" spans="1:6">
      <c r="A79" s="17">
        <v>6</v>
      </c>
      <c r="B79" s="91" t="s">
        <v>15</v>
      </c>
      <c r="C79" s="92" t="s">
        <v>9</v>
      </c>
      <c r="D79" s="88">
        <v>1.23</v>
      </c>
      <c r="E79" s="94">
        <v>1.2</v>
      </c>
      <c r="F79" s="122">
        <f t="shared" si="2"/>
        <v>1.476</v>
      </c>
    </row>
    <row r="80" spans="1:6">
      <c r="A80" s="17"/>
      <c r="B80" s="91" t="s">
        <v>16</v>
      </c>
      <c r="C80" s="92"/>
      <c r="D80" s="97">
        <v>0.32</v>
      </c>
      <c r="E80" s="94">
        <v>300</v>
      </c>
      <c r="F80" s="122">
        <f t="shared" si="2"/>
        <v>96</v>
      </c>
    </row>
    <row r="81" spans="1:7">
      <c r="A81" s="17">
        <v>7</v>
      </c>
      <c r="B81" s="91" t="s">
        <v>17</v>
      </c>
      <c r="C81" s="92" t="s">
        <v>9</v>
      </c>
      <c r="D81" s="88">
        <v>1.23</v>
      </c>
      <c r="E81" s="94">
        <v>3.36</v>
      </c>
      <c r="F81" s="122">
        <f t="shared" si="2"/>
        <v>4.1327999999999996</v>
      </c>
    </row>
    <row r="82" spans="1:7">
      <c r="A82" s="17">
        <v>8</v>
      </c>
      <c r="B82" s="54" t="s">
        <v>8</v>
      </c>
      <c r="C82" s="92" t="s">
        <v>18</v>
      </c>
      <c r="D82" s="88">
        <v>1.23</v>
      </c>
      <c r="E82" s="94">
        <v>0.84</v>
      </c>
      <c r="F82" s="122">
        <f t="shared" si="2"/>
        <v>1.0331999999999999</v>
      </c>
    </row>
    <row r="83" spans="1:7">
      <c r="A83" s="17"/>
      <c r="B83" s="91" t="s">
        <v>19</v>
      </c>
      <c r="C83" s="92"/>
      <c r="D83" s="97">
        <v>0.26</v>
      </c>
      <c r="E83" s="94">
        <v>200</v>
      </c>
      <c r="F83" s="122">
        <f t="shared" si="2"/>
        <v>52</v>
      </c>
    </row>
    <row r="84" spans="1:7">
      <c r="A84" s="17">
        <v>9</v>
      </c>
      <c r="B84" s="95" t="s">
        <v>11</v>
      </c>
      <c r="C84" s="92" t="s">
        <v>18</v>
      </c>
      <c r="D84" s="88">
        <v>1.23</v>
      </c>
      <c r="E84" s="94">
        <v>1.1599999999999999</v>
      </c>
      <c r="F84" s="122">
        <f t="shared" si="2"/>
        <v>1.4267999999999998</v>
      </c>
    </row>
    <row r="85" spans="1:7">
      <c r="A85" s="17">
        <v>10</v>
      </c>
      <c r="B85" s="96" t="s">
        <v>47</v>
      </c>
      <c r="C85" s="92" t="s">
        <v>21</v>
      </c>
      <c r="D85" s="88">
        <v>1.23</v>
      </c>
      <c r="E85" s="94">
        <f>0.96*2</f>
        <v>1.92</v>
      </c>
      <c r="F85" s="122">
        <f t="shared" si="2"/>
        <v>2.3615999999999997</v>
      </c>
    </row>
    <row r="86" spans="1:7">
      <c r="A86" s="17">
        <v>11</v>
      </c>
      <c r="B86" s="96" t="s">
        <v>48</v>
      </c>
      <c r="C86" s="92" t="s">
        <v>21</v>
      </c>
      <c r="D86" s="88">
        <v>1.23</v>
      </c>
      <c r="E86" s="94">
        <f>0.92*2</f>
        <v>1.84</v>
      </c>
      <c r="F86" s="122">
        <f t="shared" si="2"/>
        <v>2.2631999999999999</v>
      </c>
    </row>
    <row r="87" spans="1:7">
      <c r="A87" s="17"/>
      <c r="B87" s="96" t="s">
        <v>23</v>
      </c>
      <c r="C87" s="92"/>
      <c r="D87" s="98"/>
      <c r="E87" s="94">
        <v>0.01</v>
      </c>
      <c r="F87" s="122">
        <f t="shared" si="2"/>
        <v>0</v>
      </c>
    </row>
    <row r="88" spans="1:7">
      <c r="A88" s="17"/>
      <c r="B88" s="96" t="s">
        <v>616</v>
      </c>
      <c r="C88" s="92"/>
      <c r="D88" s="99">
        <v>94.28</v>
      </c>
      <c r="E88" s="94">
        <v>0.15</v>
      </c>
      <c r="F88" s="90">
        <f t="shared" si="2"/>
        <v>14.141999999999999</v>
      </c>
    </row>
    <row r="89" spans="1:7">
      <c r="A89" s="17"/>
      <c r="B89" s="96" t="s">
        <v>608</v>
      </c>
      <c r="C89" s="92"/>
      <c r="D89" s="97"/>
      <c r="E89" s="94">
        <v>0</v>
      </c>
      <c r="F89" s="122">
        <f t="shared" si="2"/>
        <v>0</v>
      </c>
    </row>
    <row r="90" spans="1:7" s="43" customFormat="1">
      <c r="A90" s="100"/>
      <c r="B90" s="95" t="s">
        <v>645</v>
      </c>
      <c r="C90" s="101"/>
      <c r="D90" s="99">
        <v>44.41</v>
      </c>
      <c r="E90" s="102">
        <v>0.5</v>
      </c>
      <c r="F90" s="103">
        <f t="shared" si="2"/>
        <v>22.204999999999998</v>
      </c>
    </row>
    <row r="91" spans="1:7">
      <c r="A91" s="17">
        <v>12</v>
      </c>
      <c r="B91" s="96" t="s">
        <v>25</v>
      </c>
      <c r="C91" s="92" t="s">
        <v>34</v>
      </c>
      <c r="D91" s="104"/>
      <c r="E91" s="94">
        <v>0</v>
      </c>
      <c r="F91" s="122">
        <f t="shared" si="2"/>
        <v>0</v>
      </c>
    </row>
    <row r="92" spans="1:7">
      <c r="A92" s="17">
        <v>13</v>
      </c>
      <c r="B92" s="96" t="s">
        <v>37</v>
      </c>
      <c r="C92" s="92" t="s">
        <v>34</v>
      </c>
      <c r="D92" s="88">
        <v>1.23</v>
      </c>
      <c r="E92" s="94">
        <v>11.12</v>
      </c>
      <c r="F92" s="122">
        <f t="shared" si="2"/>
        <v>13.677599999999998</v>
      </c>
    </row>
    <row r="93" spans="1:7">
      <c r="A93" s="17">
        <v>14</v>
      </c>
      <c r="B93" s="96" t="s">
        <v>28</v>
      </c>
      <c r="C93" s="92" t="s">
        <v>34</v>
      </c>
      <c r="D93" s="104"/>
      <c r="E93" s="94">
        <v>0</v>
      </c>
      <c r="F93" s="122">
        <f t="shared" si="2"/>
        <v>0</v>
      </c>
    </row>
    <row r="94" spans="1:7" ht="13.5" thickBot="1">
      <c r="A94" s="30">
        <v>15</v>
      </c>
      <c r="B94" s="105" t="s">
        <v>29</v>
      </c>
      <c r="C94" s="106" t="s">
        <v>34</v>
      </c>
      <c r="D94" s="208">
        <v>1.23</v>
      </c>
      <c r="E94" s="108">
        <v>30</v>
      </c>
      <c r="F94" s="109">
        <f t="shared" si="2"/>
        <v>36.9</v>
      </c>
    </row>
    <row r="95" spans="1:7" ht="12.75" customHeight="1">
      <c r="A95" s="454" t="s">
        <v>30</v>
      </c>
      <c r="B95" s="455"/>
      <c r="C95" s="110"/>
      <c r="D95" s="111"/>
      <c r="E95" s="129"/>
      <c r="F95" s="130">
        <f>SUM(F73:F94)</f>
        <v>387.91919999999993</v>
      </c>
      <c r="G95" s="114">
        <f>F69*F95</f>
        <v>0</v>
      </c>
    </row>
    <row r="96" spans="1:7" ht="13.5" customHeight="1" thickBot="1">
      <c r="A96" s="467" t="s">
        <v>31</v>
      </c>
      <c r="B96" s="468"/>
      <c r="C96" s="469"/>
      <c r="D96" s="115"/>
      <c r="E96" s="116">
        <f>E73+E75+E76+E77+E78+E79+E81+E82+E84+E85+E86+E92+E94+E93</f>
        <v>80.140000000000015</v>
      </c>
      <c r="F96" s="131"/>
      <c r="G96" s="118" t="s">
        <v>277</v>
      </c>
    </row>
    <row r="97" spans="1:6" ht="13.5" thickBot="1"/>
    <row r="98" spans="1:6" ht="11.25" customHeight="1">
      <c r="A98" s="456" t="s">
        <v>654</v>
      </c>
      <c r="B98" s="457"/>
      <c r="C98" s="457"/>
      <c r="D98" s="457"/>
      <c r="E98" s="457"/>
      <c r="F98" s="458"/>
    </row>
    <row r="99" spans="1:6" ht="11.25" customHeight="1">
      <c r="A99" s="459"/>
      <c r="B99" s="460"/>
      <c r="C99" s="460"/>
      <c r="D99" s="460"/>
      <c r="E99" s="460"/>
      <c r="F99" s="461"/>
    </row>
    <row r="100" spans="1:6" ht="11.25" customHeight="1">
      <c r="A100" s="459"/>
      <c r="B100" s="460"/>
      <c r="C100" s="460"/>
      <c r="D100" s="460"/>
      <c r="E100" s="460"/>
      <c r="F100" s="461"/>
    </row>
    <row r="101" spans="1:6" ht="11.25" customHeight="1" thickBot="1">
      <c r="A101" s="462"/>
      <c r="B101" s="463"/>
      <c r="C101" s="463"/>
      <c r="D101" s="463"/>
      <c r="E101" s="463"/>
      <c r="F101" s="464"/>
    </row>
    <row r="102" spans="1:6" ht="13.5" thickBot="1"/>
    <row r="103" spans="1:6" ht="13.5" customHeight="1" thickBot="1">
      <c r="B103" s="2" t="s">
        <v>38</v>
      </c>
      <c r="D103" s="470" t="s">
        <v>1</v>
      </c>
      <c r="E103" s="471"/>
      <c r="F103" s="81">
        <v>0</v>
      </c>
    </row>
    <row r="104" spans="1:6" ht="13.5" thickBot="1"/>
    <row r="105" spans="1:6" ht="11.25" customHeight="1">
      <c r="A105" s="472" t="s">
        <v>276</v>
      </c>
      <c r="B105" s="473"/>
      <c r="C105" s="473"/>
      <c r="D105" s="473"/>
      <c r="E105" s="465" t="s">
        <v>2</v>
      </c>
      <c r="F105" s="466"/>
    </row>
    <row r="106" spans="1:6" ht="51.75" thickBot="1">
      <c r="A106" s="372" t="s">
        <v>716</v>
      </c>
      <c r="B106" s="84" t="s">
        <v>3</v>
      </c>
      <c r="C106" s="84" t="s">
        <v>4</v>
      </c>
      <c r="D106" s="84" t="s">
        <v>5</v>
      </c>
      <c r="E106" s="85" t="s">
        <v>6</v>
      </c>
      <c r="F106" s="86" t="s">
        <v>7</v>
      </c>
    </row>
    <row r="107" spans="1:6" ht="13.5" thickTop="1">
      <c r="A107" s="11">
        <v>1</v>
      </c>
      <c r="B107" s="54" t="s">
        <v>39</v>
      </c>
      <c r="C107" s="132" t="s">
        <v>34</v>
      </c>
      <c r="D107" s="88">
        <v>1.23</v>
      </c>
      <c r="E107" s="129">
        <v>5.66</v>
      </c>
      <c r="F107" s="130">
        <f>E107*D107</f>
        <v>6.9618000000000002</v>
      </c>
    </row>
    <row r="108" spans="1:6">
      <c r="A108" s="17">
        <v>2</v>
      </c>
      <c r="B108" s="96" t="s">
        <v>40</v>
      </c>
      <c r="C108" s="133" t="s">
        <v>34</v>
      </c>
      <c r="D108" s="88">
        <v>1.23</v>
      </c>
      <c r="E108" s="134">
        <v>30</v>
      </c>
      <c r="F108" s="58">
        <f>E108*D108</f>
        <v>36.9</v>
      </c>
    </row>
    <row r="109" spans="1:6">
      <c r="A109" s="17">
        <v>3</v>
      </c>
      <c r="B109" s="135" t="s">
        <v>41</v>
      </c>
      <c r="C109" s="133" t="s">
        <v>34</v>
      </c>
      <c r="D109" s="88">
        <v>1.23</v>
      </c>
      <c r="E109" s="134">
        <v>17.579999999999998</v>
      </c>
      <c r="F109" s="58">
        <f t="shared" ref="F109:F130" si="3">E109*D109</f>
        <v>21.623399999999997</v>
      </c>
    </row>
    <row r="110" spans="1:6">
      <c r="A110" s="17">
        <v>4</v>
      </c>
      <c r="B110" s="91" t="s">
        <v>13</v>
      </c>
      <c r="C110" s="133" t="s">
        <v>42</v>
      </c>
      <c r="D110" s="88">
        <v>1.23</v>
      </c>
      <c r="E110" s="134">
        <v>3.9</v>
      </c>
      <c r="F110" s="58">
        <f t="shared" si="3"/>
        <v>4.7969999999999997</v>
      </c>
    </row>
    <row r="111" spans="1:6">
      <c r="A111" s="17">
        <v>5</v>
      </c>
      <c r="B111" s="54" t="s">
        <v>8</v>
      </c>
      <c r="C111" s="133" t="s">
        <v>43</v>
      </c>
      <c r="D111" s="88">
        <v>1.23</v>
      </c>
      <c r="E111" s="134">
        <v>1.32</v>
      </c>
      <c r="F111" s="58">
        <f t="shared" si="3"/>
        <v>1.6236000000000002</v>
      </c>
    </row>
    <row r="112" spans="1:6">
      <c r="A112" s="17"/>
      <c r="B112" s="91" t="s">
        <v>10</v>
      </c>
      <c r="C112" s="133"/>
      <c r="D112" s="93">
        <v>0.35</v>
      </c>
      <c r="E112" s="134">
        <v>300</v>
      </c>
      <c r="F112" s="58">
        <f t="shared" si="3"/>
        <v>105</v>
      </c>
    </row>
    <row r="113" spans="1:6">
      <c r="A113" s="17">
        <v>6</v>
      </c>
      <c r="B113" s="95" t="s">
        <v>11</v>
      </c>
      <c r="C113" s="133" t="s">
        <v>43</v>
      </c>
      <c r="D113" s="88">
        <v>1.23</v>
      </c>
      <c r="E113" s="134">
        <v>1.1599999999999999</v>
      </c>
      <c r="F113" s="58">
        <f t="shared" si="3"/>
        <v>1.4267999999999998</v>
      </c>
    </row>
    <row r="114" spans="1:6">
      <c r="A114" s="17">
        <v>7</v>
      </c>
      <c r="B114" s="96" t="s">
        <v>12</v>
      </c>
      <c r="C114" s="136" t="s">
        <v>43</v>
      </c>
      <c r="D114" s="88">
        <v>1.23</v>
      </c>
      <c r="E114" s="134">
        <v>21.66</v>
      </c>
      <c r="F114" s="58">
        <f t="shared" si="3"/>
        <v>26.6418</v>
      </c>
    </row>
    <row r="115" spans="1:6">
      <c r="A115" s="17">
        <v>8</v>
      </c>
      <c r="B115" s="95" t="s">
        <v>44</v>
      </c>
      <c r="C115" s="136" t="s">
        <v>45</v>
      </c>
      <c r="D115" s="88">
        <v>1.23</v>
      </c>
      <c r="E115" s="134">
        <v>2.16</v>
      </c>
      <c r="F115" s="58">
        <f t="shared" si="3"/>
        <v>2.6568000000000001</v>
      </c>
    </row>
    <row r="116" spans="1:6">
      <c r="A116" s="17"/>
      <c r="B116" s="91" t="s">
        <v>46</v>
      </c>
      <c r="C116" s="133"/>
      <c r="D116" s="104">
        <v>34.72</v>
      </c>
      <c r="E116" s="134">
        <v>2.4</v>
      </c>
      <c r="F116" s="58">
        <f t="shared" si="3"/>
        <v>83.327999999999989</v>
      </c>
    </row>
    <row r="117" spans="1:6">
      <c r="A117" s="17">
        <v>9</v>
      </c>
      <c r="B117" s="91" t="s">
        <v>17</v>
      </c>
      <c r="C117" s="133" t="s">
        <v>45</v>
      </c>
      <c r="D117" s="88">
        <v>1.23</v>
      </c>
      <c r="E117" s="134">
        <v>2.76</v>
      </c>
      <c r="F117" s="58">
        <f t="shared" si="3"/>
        <v>3.3947999999999996</v>
      </c>
    </row>
    <row r="118" spans="1:6">
      <c r="A118" s="17">
        <v>10</v>
      </c>
      <c r="B118" s="96" t="s">
        <v>47</v>
      </c>
      <c r="C118" s="133" t="s">
        <v>45</v>
      </c>
      <c r="D118" s="88">
        <v>1.23</v>
      </c>
      <c r="E118" s="134">
        <f>0.96*2</f>
        <v>1.92</v>
      </c>
      <c r="F118" s="58">
        <f t="shared" si="3"/>
        <v>2.3615999999999997</v>
      </c>
    </row>
    <row r="119" spans="1:6">
      <c r="A119" s="17">
        <v>11</v>
      </c>
      <c r="B119" s="96" t="s">
        <v>48</v>
      </c>
      <c r="C119" s="133" t="s">
        <v>45</v>
      </c>
      <c r="D119" s="88">
        <v>1.23</v>
      </c>
      <c r="E119" s="134">
        <f>0.92*2</f>
        <v>1.84</v>
      </c>
      <c r="F119" s="58">
        <f t="shared" si="3"/>
        <v>2.2631999999999999</v>
      </c>
    </row>
    <row r="120" spans="1:6">
      <c r="A120" s="17"/>
      <c r="B120" s="96" t="s">
        <v>49</v>
      </c>
      <c r="C120" s="136"/>
      <c r="D120" s="104"/>
      <c r="E120" s="134">
        <v>0</v>
      </c>
      <c r="F120" s="58">
        <f t="shared" si="3"/>
        <v>0</v>
      </c>
    </row>
    <row r="121" spans="1:6">
      <c r="A121" s="17"/>
      <c r="B121" s="96" t="s">
        <v>50</v>
      </c>
      <c r="C121" s="136"/>
      <c r="D121" s="137">
        <v>6.06</v>
      </c>
      <c r="E121" s="134">
        <v>2</v>
      </c>
      <c r="F121" s="58">
        <f t="shared" si="3"/>
        <v>12.12</v>
      </c>
    </row>
    <row r="122" spans="1:6">
      <c r="A122" s="17"/>
      <c r="B122" s="96" t="s">
        <v>618</v>
      </c>
      <c r="C122" s="136"/>
      <c r="D122" s="137">
        <v>5.01</v>
      </c>
      <c r="E122" s="134">
        <v>1</v>
      </c>
      <c r="F122" s="58">
        <f t="shared" si="3"/>
        <v>5.01</v>
      </c>
    </row>
    <row r="123" spans="1:6">
      <c r="A123" s="17"/>
      <c r="B123" s="96" t="s">
        <v>646</v>
      </c>
      <c r="C123" s="136"/>
      <c r="D123" s="104">
        <v>6.23</v>
      </c>
      <c r="E123" s="138">
        <v>0.7</v>
      </c>
      <c r="F123" s="58">
        <f t="shared" si="3"/>
        <v>4.3609999999999998</v>
      </c>
    </row>
    <row r="124" spans="1:6">
      <c r="A124" s="17"/>
      <c r="B124" s="95" t="s">
        <v>618</v>
      </c>
      <c r="C124" s="136"/>
      <c r="D124" s="137">
        <v>5.01</v>
      </c>
      <c r="E124" s="138">
        <v>1</v>
      </c>
      <c r="F124" s="58">
        <f t="shared" si="3"/>
        <v>5.01</v>
      </c>
    </row>
    <row r="125" spans="1:6">
      <c r="A125" s="17">
        <v>12</v>
      </c>
      <c r="B125" s="96" t="s">
        <v>8</v>
      </c>
      <c r="C125" s="136" t="s">
        <v>21</v>
      </c>
      <c r="D125" s="88">
        <v>1.23</v>
      </c>
      <c r="E125" s="134">
        <v>0.9</v>
      </c>
      <c r="F125" s="58">
        <f t="shared" si="3"/>
        <v>1.107</v>
      </c>
    </row>
    <row r="126" spans="1:6">
      <c r="A126" s="17"/>
      <c r="B126" s="91" t="s">
        <v>51</v>
      </c>
      <c r="C126" s="136"/>
      <c r="D126" s="93">
        <v>0.32</v>
      </c>
      <c r="E126" s="134">
        <v>200</v>
      </c>
      <c r="F126" s="58">
        <f t="shared" si="3"/>
        <v>64</v>
      </c>
    </row>
    <row r="127" spans="1:6">
      <c r="A127" s="17">
        <v>13</v>
      </c>
      <c r="B127" s="95" t="s">
        <v>52</v>
      </c>
      <c r="C127" s="133" t="s">
        <v>21</v>
      </c>
      <c r="D127" s="88">
        <v>1.23</v>
      </c>
      <c r="E127" s="134">
        <v>2.92</v>
      </c>
      <c r="F127" s="58">
        <f t="shared" si="3"/>
        <v>3.5915999999999997</v>
      </c>
    </row>
    <row r="128" spans="1:6">
      <c r="A128" s="17">
        <v>14</v>
      </c>
      <c r="B128" s="96" t="s">
        <v>53</v>
      </c>
      <c r="C128" s="133" t="s">
        <v>54</v>
      </c>
      <c r="D128" s="88">
        <v>1.23</v>
      </c>
      <c r="E128" s="134">
        <v>2.76</v>
      </c>
      <c r="F128" s="58">
        <f t="shared" si="3"/>
        <v>3.3947999999999996</v>
      </c>
    </row>
    <row r="129" spans="1:7">
      <c r="A129" s="17">
        <v>15</v>
      </c>
      <c r="B129" s="95" t="s">
        <v>55</v>
      </c>
      <c r="C129" s="136" t="s">
        <v>9</v>
      </c>
      <c r="D129" s="88"/>
      <c r="E129" s="134">
        <v>0</v>
      </c>
      <c r="F129" s="58">
        <f t="shared" si="3"/>
        <v>0</v>
      </c>
    </row>
    <row r="130" spans="1:7" ht="13.5" thickBot="1">
      <c r="A130" s="30">
        <v>16</v>
      </c>
      <c r="B130" s="105" t="s">
        <v>56</v>
      </c>
      <c r="C130" s="140" t="s">
        <v>9</v>
      </c>
      <c r="D130" s="208">
        <v>1.23</v>
      </c>
      <c r="E130" s="116">
        <v>9</v>
      </c>
      <c r="F130" s="68">
        <f t="shared" si="3"/>
        <v>11.07</v>
      </c>
    </row>
    <row r="131" spans="1:7" ht="12.75" customHeight="1">
      <c r="A131" s="454" t="s">
        <v>30</v>
      </c>
      <c r="B131" s="455"/>
      <c r="C131" s="141"/>
      <c r="D131" s="88"/>
      <c r="E131" s="129"/>
      <c r="F131" s="130">
        <f>SUM(F107:F130)</f>
        <v>408.64319999999987</v>
      </c>
      <c r="G131" s="114">
        <f>F103*F131</f>
        <v>0</v>
      </c>
    </row>
    <row r="132" spans="1:7" ht="13.5" customHeight="1" thickBot="1">
      <c r="A132" s="467" t="s">
        <v>31</v>
      </c>
      <c r="B132" s="468"/>
      <c r="C132" s="469"/>
      <c r="D132" s="142"/>
      <c r="E132" s="116">
        <f>E107+E108+E109+E110+E111+E113+E114+E115+E117+E118+E119+E125+E127+E128+E130</f>
        <v>105.54</v>
      </c>
      <c r="F132" s="68"/>
      <c r="G132" s="118" t="s">
        <v>277</v>
      </c>
    </row>
    <row r="133" spans="1:7" ht="13.5" thickBot="1"/>
    <row r="134" spans="1:7" ht="11.25" customHeight="1">
      <c r="A134" s="456" t="s">
        <v>32</v>
      </c>
      <c r="B134" s="457"/>
      <c r="C134" s="457"/>
      <c r="D134" s="457"/>
      <c r="E134" s="457"/>
      <c r="F134" s="458"/>
    </row>
    <row r="135" spans="1:7" ht="11.25" customHeight="1">
      <c r="A135" s="459"/>
      <c r="B135" s="460"/>
      <c r="C135" s="460"/>
      <c r="D135" s="460"/>
      <c r="E135" s="460"/>
      <c r="F135" s="461"/>
    </row>
    <row r="136" spans="1:7" ht="11.25" customHeight="1" thickBot="1">
      <c r="A136" s="462"/>
      <c r="B136" s="463"/>
      <c r="C136" s="463"/>
      <c r="D136" s="463"/>
      <c r="E136" s="463"/>
      <c r="F136" s="464"/>
    </row>
    <row r="137" spans="1:7" ht="13.5" thickBot="1">
      <c r="D137" s="126"/>
      <c r="E137" s="143"/>
      <c r="F137" s="6"/>
    </row>
    <row r="138" spans="1:7" ht="13.5" customHeight="1" thickBot="1">
      <c r="B138" s="2" t="s">
        <v>57</v>
      </c>
      <c r="D138" s="470" t="s">
        <v>1</v>
      </c>
      <c r="E138" s="471"/>
      <c r="F138" s="81">
        <v>0</v>
      </c>
    </row>
    <row r="139" spans="1:7" ht="13.5" thickBot="1"/>
    <row r="140" spans="1:7" ht="11.25" customHeight="1">
      <c r="A140" s="472" t="s">
        <v>276</v>
      </c>
      <c r="B140" s="473"/>
      <c r="C140" s="473"/>
      <c r="D140" s="473"/>
      <c r="E140" s="465" t="s">
        <v>2</v>
      </c>
      <c r="F140" s="466"/>
    </row>
    <row r="141" spans="1:7" ht="51.75" thickBot="1">
      <c r="A141" s="372" t="s">
        <v>716</v>
      </c>
      <c r="B141" s="84" t="s">
        <v>3</v>
      </c>
      <c r="C141" s="84" t="s">
        <v>4</v>
      </c>
      <c r="D141" s="84" t="s">
        <v>5</v>
      </c>
      <c r="E141" s="85" t="s">
        <v>6</v>
      </c>
      <c r="F141" s="86" t="s">
        <v>7</v>
      </c>
    </row>
    <row r="142" spans="1:7" ht="13.5" thickTop="1">
      <c r="A142" s="11">
        <v>1</v>
      </c>
      <c r="B142" s="54" t="s">
        <v>39</v>
      </c>
      <c r="C142" s="132" t="s">
        <v>34</v>
      </c>
      <c r="D142" s="88">
        <v>1.23</v>
      </c>
      <c r="E142" s="129">
        <v>5.66</v>
      </c>
      <c r="F142" s="130">
        <f>E142*D142</f>
        <v>6.9618000000000002</v>
      </c>
    </row>
    <row r="143" spans="1:7">
      <c r="A143" s="17">
        <v>2</v>
      </c>
      <c r="B143" s="96" t="s">
        <v>40</v>
      </c>
      <c r="C143" s="133" t="s">
        <v>34</v>
      </c>
      <c r="D143" s="88">
        <v>1.23</v>
      </c>
      <c r="E143" s="134">
        <v>30</v>
      </c>
      <c r="F143" s="58">
        <f>E143*D143</f>
        <v>36.9</v>
      </c>
    </row>
    <row r="144" spans="1:7">
      <c r="A144" s="17">
        <v>3</v>
      </c>
      <c r="B144" s="135" t="s">
        <v>41</v>
      </c>
      <c r="C144" s="133" t="s">
        <v>34</v>
      </c>
      <c r="D144" s="88">
        <v>1.23</v>
      </c>
      <c r="E144" s="134">
        <v>17.579999999999998</v>
      </c>
      <c r="F144" s="58">
        <f t="shared" ref="F144:F165" si="4">E144*D144</f>
        <v>21.623399999999997</v>
      </c>
    </row>
    <row r="145" spans="1:6">
      <c r="A145" s="17">
        <v>4</v>
      </c>
      <c r="B145" s="91" t="s">
        <v>13</v>
      </c>
      <c r="C145" s="133" t="s">
        <v>42</v>
      </c>
      <c r="D145" s="88">
        <v>1.23</v>
      </c>
      <c r="E145" s="134">
        <v>3.9</v>
      </c>
      <c r="F145" s="58">
        <f t="shared" si="4"/>
        <v>4.7969999999999997</v>
      </c>
    </row>
    <row r="146" spans="1:6">
      <c r="A146" s="17">
        <v>5</v>
      </c>
      <c r="B146" s="54" t="s">
        <v>8</v>
      </c>
      <c r="C146" s="133" t="s">
        <v>43</v>
      </c>
      <c r="D146" s="88">
        <v>1.23</v>
      </c>
      <c r="E146" s="134">
        <v>1.32</v>
      </c>
      <c r="F146" s="58">
        <f t="shared" si="4"/>
        <v>1.6236000000000002</v>
      </c>
    </row>
    <row r="147" spans="1:6">
      <c r="A147" s="17"/>
      <c r="B147" s="91" t="s">
        <v>10</v>
      </c>
      <c r="C147" s="133"/>
      <c r="D147" s="93">
        <v>0.35</v>
      </c>
      <c r="E147" s="134">
        <v>300</v>
      </c>
      <c r="F147" s="58">
        <f t="shared" si="4"/>
        <v>105</v>
      </c>
    </row>
    <row r="148" spans="1:6">
      <c r="A148" s="17">
        <v>6</v>
      </c>
      <c r="B148" s="95" t="s">
        <v>11</v>
      </c>
      <c r="C148" s="133" t="s">
        <v>43</v>
      </c>
      <c r="D148" s="88">
        <v>1.23</v>
      </c>
      <c r="E148" s="134">
        <v>1.1599999999999999</v>
      </c>
      <c r="F148" s="58">
        <f t="shared" si="4"/>
        <v>1.4267999999999998</v>
      </c>
    </row>
    <row r="149" spans="1:6">
      <c r="A149" s="17">
        <v>7</v>
      </c>
      <c r="B149" s="96" t="s">
        <v>12</v>
      </c>
      <c r="C149" s="136" t="s">
        <v>43</v>
      </c>
      <c r="D149" s="88">
        <v>1.23</v>
      </c>
      <c r="E149" s="134">
        <v>21.66</v>
      </c>
      <c r="F149" s="58">
        <f t="shared" si="4"/>
        <v>26.6418</v>
      </c>
    </row>
    <row r="150" spans="1:6">
      <c r="A150" s="17">
        <v>8</v>
      </c>
      <c r="B150" s="95" t="s">
        <v>44</v>
      </c>
      <c r="C150" s="136" t="s">
        <v>45</v>
      </c>
      <c r="D150" s="88">
        <v>1.23</v>
      </c>
      <c r="E150" s="134">
        <v>2.16</v>
      </c>
      <c r="F150" s="58">
        <f t="shared" si="4"/>
        <v>2.6568000000000001</v>
      </c>
    </row>
    <row r="151" spans="1:6">
      <c r="A151" s="17"/>
      <c r="B151" s="91" t="s">
        <v>46</v>
      </c>
      <c r="C151" s="133"/>
      <c r="D151" s="104">
        <v>34.72</v>
      </c>
      <c r="E151" s="134">
        <v>2.4</v>
      </c>
      <c r="F151" s="58">
        <f t="shared" si="4"/>
        <v>83.327999999999989</v>
      </c>
    </row>
    <row r="152" spans="1:6">
      <c r="A152" s="17">
        <v>9</v>
      </c>
      <c r="B152" s="91" t="s">
        <v>17</v>
      </c>
      <c r="C152" s="133" t="s">
        <v>45</v>
      </c>
      <c r="D152" s="88">
        <v>1.23</v>
      </c>
      <c r="E152" s="134">
        <v>2.76</v>
      </c>
      <c r="F152" s="58">
        <f t="shared" si="4"/>
        <v>3.3947999999999996</v>
      </c>
    </row>
    <row r="153" spans="1:6">
      <c r="A153" s="17">
        <v>10</v>
      </c>
      <c r="B153" s="96" t="s">
        <v>47</v>
      </c>
      <c r="C153" s="133" t="s">
        <v>45</v>
      </c>
      <c r="D153" s="88">
        <v>1.23</v>
      </c>
      <c r="E153" s="134">
        <f>0.96*2</f>
        <v>1.92</v>
      </c>
      <c r="F153" s="58">
        <f t="shared" si="4"/>
        <v>2.3615999999999997</v>
      </c>
    </row>
    <row r="154" spans="1:6">
      <c r="A154" s="17">
        <v>11</v>
      </c>
      <c r="B154" s="96" t="s">
        <v>48</v>
      </c>
      <c r="C154" s="133" t="s">
        <v>45</v>
      </c>
      <c r="D154" s="88">
        <v>1.23</v>
      </c>
      <c r="E154" s="134">
        <f>0.92*2</f>
        <v>1.84</v>
      </c>
      <c r="F154" s="58">
        <f t="shared" si="4"/>
        <v>2.2631999999999999</v>
      </c>
    </row>
    <row r="155" spans="1:6">
      <c r="A155" s="17"/>
      <c r="B155" s="96" t="s">
        <v>49</v>
      </c>
      <c r="C155" s="136"/>
      <c r="D155" s="104"/>
      <c r="E155" s="134">
        <v>0</v>
      </c>
      <c r="F155" s="58">
        <f t="shared" si="4"/>
        <v>0</v>
      </c>
    </row>
    <row r="156" spans="1:6">
      <c r="A156" s="17"/>
      <c r="B156" s="96" t="s">
        <v>50</v>
      </c>
      <c r="C156" s="136"/>
      <c r="D156" s="137">
        <v>6.06</v>
      </c>
      <c r="E156" s="134">
        <v>2</v>
      </c>
      <c r="F156" s="58">
        <f t="shared" si="4"/>
        <v>12.12</v>
      </c>
    </row>
    <row r="157" spans="1:6">
      <c r="A157" s="17"/>
      <c r="B157" s="96" t="s">
        <v>618</v>
      </c>
      <c r="C157" s="136"/>
      <c r="D157" s="137">
        <v>5.01</v>
      </c>
      <c r="E157" s="134">
        <v>1</v>
      </c>
      <c r="F157" s="58">
        <f t="shared" si="4"/>
        <v>5.01</v>
      </c>
    </row>
    <row r="158" spans="1:6">
      <c r="A158" s="17"/>
      <c r="B158" s="96" t="s">
        <v>646</v>
      </c>
      <c r="C158" s="136"/>
      <c r="D158" s="104">
        <v>6.23</v>
      </c>
      <c r="E158" s="138">
        <v>0.7</v>
      </c>
      <c r="F158" s="58">
        <f t="shared" si="4"/>
        <v>4.3609999999999998</v>
      </c>
    </row>
    <row r="159" spans="1:6">
      <c r="A159" s="17"/>
      <c r="B159" s="95" t="s">
        <v>618</v>
      </c>
      <c r="C159" s="136"/>
      <c r="D159" s="137">
        <v>5.01</v>
      </c>
      <c r="E159" s="138">
        <v>1</v>
      </c>
      <c r="F159" s="58">
        <f t="shared" si="4"/>
        <v>5.01</v>
      </c>
    </row>
    <row r="160" spans="1:6">
      <c r="A160" s="17">
        <v>12</v>
      </c>
      <c r="B160" s="54" t="s">
        <v>8</v>
      </c>
      <c r="C160" s="136" t="s">
        <v>21</v>
      </c>
      <c r="D160" s="88">
        <v>1.23</v>
      </c>
      <c r="E160" s="134">
        <v>0.9</v>
      </c>
      <c r="F160" s="58">
        <f t="shared" si="4"/>
        <v>1.107</v>
      </c>
    </row>
    <row r="161" spans="1:7">
      <c r="A161" s="17"/>
      <c r="B161" s="91" t="s">
        <v>51</v>
      </c>
      <c r="C161" s="136"/>
      <c r="D161" s="93">
        <v>0.32</v>
      </c>
      <c r="E161" s="134">
        <v>200</v>
      </c>
      <c r="F161" s="58">
        <f t="shared" si="4"/>
        <v>64</v>
      </c>
    </row>
    <row r="162" spans="1:7">
      <c r="A162" s="17">
        <v>13</v>
      </c>
      <c r="B162" s="95" t="s">
        <v>52</v>
      </c>
      <c r="C162" s="133" t="s">
        <v>21</v>
      </c>
      <c r="D162" s="88">
        <v>1.23</v>
      </c>
      <c r="E162" s="134">
        <v>2.92</v>
      </c>
      <c r="F162" s="58">
        <f t="shared" si="4"/>
        <v>3.5915999999999997</v>
      </c>
    </row>
    <row r="163" spans="1:7">
      <c r="A163" s="17">
        <v>14</v>
      </c>
      <c r="B163" s="96" t="s">
        <v>53</v>
      </c>
      <c r="C163" s="133" t="s">
        <v>54</v>
      </c>
      <c r="D163" s="88">
        <v>1.23</v>
      </c>
      <c r="E163" s="134">
        <v>2.76</v>
      </c>
      <c r="F163" s="58">
        <f t="shared" si="4"/>
        <v>3.3947999999999996</v>
      </c>
    </row>
    <row r="164" spans="1:7">
      <c r="A164" s="17">
        <v>15</v>
      </c>
      <c r="B164" s="95" t="s">
        <v>58</v>
      </c>
      <c r="C164" s="136" t="s">
        <v>42</v>
      </c>
      <c r="D164" s="88">
        <v>1.23</v>
      </c>
      <c r="E164" s="134">
        <v>22.92</v>
      </c>
      <c r="F164" s="58">
        <f t="shared" si="4"/>
        <v>28.191600000000001</v>
      </c>
    </row>
    <row r="165" spans="1:7" ht="13.5" thickBot="1">
      <c r="A165" s="30">
        <v>16</v>
      </c>
      <c r="B165" s="105" t="s">
        <v>59</v>
      </c>
      <c r="C165" s="140" t="s">
        <v>42</v>
      </c>
      <c r="D165" s="208">
        <v>1.23</v>
      </c>
      <c r="E165" s="116">
        <v>30</v>
      </c>
      <c r="F165" s="68">
        <f t="shared" si="4"/>
        <v>36.9</v>
      </c>
    </row>
    <row r="166" spans="1:7" ht="12.75" customHeight="1">
      <c r="A166" s="479" t="s">
        <v>30</v>
      </c>
      <c r="B166" s="474"/>
      <c r="C166" s="141"/>
      <c r="D166" s="88"/>
      <c r="E166" s="129"/>
      <c r="F166" s="130">
        <f>SUM(F142:F165)</f>
        <v>462.66479999999984</v>
      </c>
      <c r="G166" s="114">
        <f>F138*F166</f>
        <v>0</v>
      </c>
    </row>
    <row r="167" spans="1:7" ht="13.5" customHeight="1" thickBot="1">
      <c r="A167" s="467" t="s">
        <v>31</v>
      </c>
      <c r="B167" s="468"/>
      <c r="C167" s="469"/>
      <c r="D167" s="142"/>
      <c r="E167" s="116">
        <f>E142+E143+E144+E145+E146+E148+E149+E150+E152+E153+E154+E160+E162+E163+E164+E165</f>
        <v>149.46</v>
      </c>
      <c r="F167" s="68"/>
      <c r="G167" s="118" t="s">
        <v>277</v>
      </c>
    </row>
    <row r="168" spans="1:7" ht="13.5" thickBot="1"/>
    <row r="169" spans="1:7" ht="11.25" customHeight="1">
      <c r="A169" s="456" t="s">
        <v>655</v>
      </c>
      <c r="B169" s="457"/>
      <c r="C169" s="457"/>
      <c r="D169" s="457"/>
      <c r="E169" s="457"/>
      <c r="F169" s="458"/>
    </row>
    <row r="170" spans="1:7" ht="11.25" customHeight="1">
      <c r="A170" s="459"/>
      <c r="B170" s="460"/>
      <c r="C170" s="460"/>
      <c r="D170" s="460"/>
      <c r="E170" s="460"/>
      <c r="F170" s="461"/>
    </row>
    <row r="171" spans="1:7" ht="11.25" customHeight="1">
      <c r="A171" s="459"/>
      <c r="B171" s="460"/>
      <c r="C171" s="460"/>
      <c r="D171" s="460"/>
      <c r="E171" s="460"/>
      <c r="F171" s="461"/>
    </row>
    <row r="172" spans="1:7" ht="11.25" customHeight="1">
      <c r="A172" s="459"/>
      <c r="B172" s="460"/>
      <c r="C172" s="460"/>
      <c r="D172" s="460"/>
      <c r="E172" s="460"/>
      <c r="F172" s="461"/>
    </row>
    <row r="173" spans="1:7" ht="11.25" customHeight="1" thickBot="1">
      <c r="A173" s="462"/>
      <c r="B173" s="463"/>
      <c r="C173" s="463"/>
      <c r="D173" s="463"/>
      <c r="E173" s="463"/>
      <c r="F173" s="464"/>
    </row>
    <row r="174" spans="1:7" ht="13.5" thickBot="1"/>
    <row r="175" spans="1:7" ht="13.5" thickBot="1">
      <c r="B175" s="2" t="s">
        <v>60</v>
      </c>
      <c r="D175" s="470" t="s">
        <v>1</v>
      </c>
      <c r="E175" s="471"/>
      <c r="F175" s="81">
        <v>0</v>
      </c>
    </row>
    <row r="176" spans="1:7" ht="13.5" thickBot="1"/>
    <row r="177" spans="1:6" ht="11.25" customHeight="1">
      <c r="A177" s="472" t="s">
        <v>276</v>
      </c>
      <c r="B177" s="473"/>
      <c r="C177" s="473"/>
      <c r="D177" s="473"/>
      <c r="E177" s="465" t="s">
        <v>2</v>
      </c>
      <c r="F177" s="466"/>
    </row>
    <row r="178" spans="1:6" ht="51.75" thickBot="1">
      <c r="A178" s="372" t="s">
        <v>716</v>
      </c>
      <c r="B178" s="84" t="s">
        <v>3</v>
      </c>
      <c r="C178" s="84" t="s">
        <v>4</v>
      </c>
      <c r="D178" s="84" t="s">
        <v>5</v>
      </c>
      <c r="E178" s="85" t="s">
        <v>6</v>
      </c>
      <c r="F178" s="86" t="s">
        <v>7</v>
      </c>
    </row>
    <row r="179" spans="1:6" ht="13.5" thickTop="1">
      <c r="A179" s="11">
        <v>1</v>
      </c>
      <c r="B179" s="54" t="s">
        <v>8</v>
      </c>
      <c r="C179" s="132" t="s">
        <v>43</v>
      </c>
      <c r="D179" s="88">
        <v>1.23</v>
      </c>
      <c r="E179" s="129">
        <v>0.9</v>
      </c>
      <c r="F179" s="130">
        <f>E179*D179</f>
        <v>1.107</v>
      </c>
    </row>
    <row r="180" spans="1:6">
      <c r="A180" s="17"/>
      <c r="B180" s="91" t="s">
        <v>10</v>
      </c>
      <c r="C180" s="133"/>
      <c r="D180" s="93">
        <v>0.35</v>
      </c>
      <c r="E180" s="134">
        <v>200</v>
      </c>
      <c r="F180" s="58">
        <f>E180*D180</f>
        <v>70</v>
      </c>
    </row>
    <row r="181" spans="1:6">
      <c r="A181" s="17">
        <v>2</v>
      </c>
      <c r="B181" s="95" t="s">
        <v>11</v>
      </c>
      <c r="C181" s="133" t="s">
        <v>43</v>
      </c>
      <c r="D181" s="88">
        <v>1.23</v>
      </c>
      <c r="E181" s="134">
        <v>1.1599999999999999</v>
      </c>
      <c r="F181" s="58">
        <f t="shared" ref="F181:F198" si="5">E181*D181</f>
        <v>1.4267999999999998</v>
      </c>
    </row>
    <row r="182" spans="1:6">
      <c r="A182" s="17">
        <v>3</v>
      </c>
      <c r="B182" s="96" t="s">
        <v>12</v>
      </c>
      <c r="C182" s="133" t="s">
        <v>43</v>
      </c>
      <c r="D182" s="88">
        <v>1.23</v>
      </c>
      <c r="E182" s="134">
        <v>21.66</v>
      </c>
      <c r="F182" s="58">
        <f t="shared" si="5"/>
        <v>26.6418</v>
      </c>
    </row>
    <row r="183" spans="1:6">
      <c r="A183" s="17">
        <v>4</v>
      </c>
      <c r="B183" s="91" t="s">
        <v>13</v>
      </c>
      <c r="C183" s="133" t="s">
        <v>45</v>
      </c>
      <c r="D183" s="88">
        <v>1.23</v>
      </c>
      <c r="E183" s="134">
        <v>3.9</v>
      </c>
      <c r="F183" s="58">
        <f t="shared" si="5"/>
        <v>4.7969999999999997</v>
      </c>
    </row>
    <row r="184" spans="1:6">
      <c r="A184" s="17">
        <v>5</v>
      </c>
      <c r="B184" s="91" t="s">
        <v>14</v>
      </c>
      <c r="C184" s="136" t="s">
        <v>45</v>
      </c>
      <c r="D184" s="88">
        <v>1.23</v>
      </c>
      <c r="E184" s="134">
        <v>2.34</v>
      </c>
      <c r="F184" s="58">
        <f t="shared" si="5"/>
        <v>2.8781999999999996</v>
      </c>
    </row>
    <row r="185" spans="1:6">
      <c r="A185" s="17"/>
      <c r="B185" s="91" t="s">
        <v>690</v>
      </c>
      <c r="C185" s="145"/>
      <c r="D185" s="174">
        <v>94.87</v>
      </c>
      <c r="E185" s="134">
        <v>0.9</v>
      </c>
      <c r="F185" s="58">
        <f t="shared" si="5"/>
        <v>85.38300000000001</v>
      </c>
    </row>
    <row r="186" spans="1:6">
      <c r="A186" s="17">
        <v>6</v>
      </c>
      <c r="B186" s="91" t="s">
        <v>17</v>
      </c>
      <c r="C186" s="133" t="s">
        <v>45</v>
      </c>
      <c r="D186" s="88">
        <v>1.23</v>
      </c>
      <c r="E186" s="134">
        <v>2.76</v>
      </c>
      <c r="F186" s="58">
        <f t="shared" si="5"/>
        <v>3.3947999999999996</v>
      </c>
    </row>
    <row r="187" spans="1:6">
      <c r="A187" s="17">
        <v>7</v>
      </c>
      <c r="B187" s="96" t="s">
        <v>47</v>
      </c>
      <c r="C187" s="133" t="s">
        <v>61</v>
      </c>
      <c r="D187" s="88">
        <v>1.23</v>
      </c>
      <c r="E187" s="134">
        <f>0.96*2</f>
        <v>1.92</v>
      </c>
      <c r="F187" s="58">
        <f t="shared" si="5"/>
        <v>2.3615999999999997</v>
      </c>
    </row>
    <row r="188" spans="1:6">
      <c r="A188" s="17">
        <v>8</v>
      </c>
      <c r="B188" s="96" t="s">
        <v>62</v>
      </c>
      <c r="C188" s="133" t="s">
        <v>61</v>
      </c>
      <c r="D188" s="88">
        <v>1.23</v>
      </c>
      <c r="E188" s="134">
        <f>0.92*2</f>
        <v>1.84</v>
      </c>
      <c r="F188" s="58">
        <f t="shared" si="5"/>
        <v>2.2631999999999999</v>
      </c>
    </row>
    <row r="189" spans="1:6">
      <c r="A189" s="17"/>
      <c r="B189" s="96" t="s">
        <v>50</v>
      </c>
      <c r="C189" s="136"/>
      <c r="D189" s="137">
        <v>6.06</v>
      </c>
      <c r="E189" s="134">
        <v>2</v>
      </c>
      <c r="F189" s="58">
        <f t="shared" si="5"/>
        <v>12.12</v>
      </c>
    </row>
    <row r="190" spans="1:6">
      <c r="A190" s="17"/>
      <c r="B190" s="96" t="s">
        <v>619</v>
      </c>
      <c r="C190" s="136"/>
      <c r="D190" s="137">
        <v>14.61</v>
      </c>
      <c r="E190" s="134">
        <v>1.5</v>
      </c>
      <c r="F190" s="58">
        <f t="shared" si="5"/>
        <v>21.914999999999999</v>
      </c>
    </row>
    <row r="191" spans="1:6">
      <c r="A191" s="17"/>
      <c r="B191" s="96" t="s">
        <v>63</v>
      </c>
      <c r="C191" s="136"/>
      <c r="D191" s="137">
        <v>14.78</v>
      </c>
      <c r="E191" s="134">
        <v>1.2</v>
      </c>
      <c r="F191" s="58">
        <f t="shared" si="5"/>
        <v>17.735999999999997</v>
      </c>
    </row>
    <row r="192" spans="1:6">
      <c r="A192" s="17"/>
      <c r="B192" s="96" t="s">
        <v>74</v>
      </c>
      <c r="C192" s="136"/>
      <c r="D192" s="137"/>
      <c r="E192" s="134">
        <v>1.2</v>
      </c>
      <c r="F192" s="58">
        <f t="shared" si="5"/>
        <v>0</v>
      </c>
    </row>
    <row r="193" spans="1:7">
      <c r="A193" s="17">
        <v>9</v>
      </c>
      <c r="B193" s="96" t="s">
        <v>8</v>
      </c>
      <c r="C193" s="136" t="s">
        <v>21</v>
      </c>
      <c r="D193" s="88">
        <v>1.23</v>
      </c>
      <c r="E193" s="134">
        <v>0.78</v>
      </c>
      <c r="F193" s="58">
        <f t="shared" si="5"/>
        <v>0.95940000000000003</v>
      </c>
    </row>
    <row r="194" spans="1:7">
      <c r="A194" s="17"/>
      <c r="B194" s="91" t="s">
        <v>65</v>
      </c>
      <c r="C194" s="136"/>
      <c r="D194" s="97">
        <v>0.26</v>
      </c>
      <c r="E194" s="134">
        <v>200</v>
      </c>
      <c r="F194" s="58">
        <f t="shared" si="5"/>
        <v>52</v>
      </c>
    </row>
    <row r="195" spans="1:7">
      <c r="A195" s="17">
        <v>10</v>
      </c>
      <c r="B195" s="95" t="s">
        <v>52</v>
      </c>
      <c r="C195" s="136" t="s">
        <v>21</v>
      </c>
      <c r="D195" s="88">
        <v>1.23</v>
      </c>
      <c r="E195" s="134">
        <v>2.92</v>
      </c>
      <c r="F195" s="58">
        <f t="shared" si="5"/>
        <v>3.5915999999999997</v>
      </c>
    </row>
    <row r="196" spans="1:7">
      <c r="A196" s="17">
        <v>11</v>
      </c>
      <c r="B196" s="96" t="s">
        <v>53</v>
      </c>
      <c r="C196" s="133" t="s">
        <v>54</v>
      </c>
      <c r="D196" s="88">
        <v>1.23</v>
      </c>
      <c r="E196" s="134">
        <v>2.76</v>
      </c>
      <c r="F196" s="58">
        <f t="shared" si="5"/>
        <v>3.3947999999999996</v>
      </c>
    </row>
    <row r="197" spans="1:7">
      <c r="A197" s="17">
        <v>12</v>
      </c>
      <c r="B197" s="95" t="s">
        <v>66</v>
      </c>
      <c r="C197" s="133" t="s">
        <v>42</v>
      </c>
      <c r="D197" s="104"/>
      <c r="E197" s="134">
        <v>0</v>
      </c>
      <c r="F197" s="58">
        <f t="shared" si="5"/>
        <v>0</v>
      </c>
    </row>
    <row r="198" spans="1:7" ht="13.5" thickBot="1">
      <c r="A198" s="30">
        <v>13</v>
      </c>
      <c r="B198" s="105" t="s">
        <v>67</v>
      </c>
      <c r="C198" s="140" t="s">
        <v>42</v>
      </c>
      <c r="D198" s="208">
        <v>1.23</v>
      </c>
      <c r="E198" s="116">
        <v>5.64</v>
      </c>
      <c r="F198" s="68">
        <f t="shared" si="5"/>
        <v>6.9371999999999998</v>
      </c>
    </row>
    <row r="199" spans="1:7" ht="12.75" customHeight="1">
      <c r="A199" s="454" t="s">
        <v>30</v>
      </c>
      <c r="B199" s="455"/>
      <c r="C199" s="146"/>
      <c r="D199" s="147"/>
      <c r="E199" s="129"/>
      <c r="F199" s="130">
        <f>SUM(F179:F198)</f>
        <v>318.90739999999994</v>
      </c>
      <c r="G199" s="114">
        <f>F175*F199</f>
        <v>0</v>
      </c>
    </row>
    <row r="200" spans="1:7" ht="13.5" customHeight="1" thickBot="1">
      <c r="A200" s="467" t="s">
        <v>31</v>
      </c>
      <c r="B200" s="468"/>
      <c r="C200" s="469"/>
      <c r="D200" s="142"/>
      <c r="E200" s="116">
        <f>E179+E181+E182+E183+E184+E186+E187+E188+E193+E195+E196+E198</f>
        <v>48.580000000000005</v>
      </c>
      <c r="F200" s="68"/>
      <c r="G200" s="118" t="s">
        <v>277</v>
      </c>
    </row>
    <row r="201" spans="1:7" ht="13.5" thickBot="1"/>
    <row r="202" spans="1:7" ht="11.25" customHeight="1">
      <c r="A202" s="456" t="s">
        <v>32</v>
      </c>
      <c r="B202" s="457"/>
      <c r="C202" s="457"/>
      <c r="D202" s="457"/>
      <c r="E202" s="457"/>
      <c r="F202" s="458"/>
    </row>
    <row r="203" spans="1:7" ht="11.25" customHeight="1">
      <c r="A203" s="459"/>
      <c r="B203" s="460"/>
      <c r="C203" s="460"/>
      <c r="D203" s="460"/>
      <c r="E203" s="460"/>
      <c r="F203" s="461"/>
    </row>
    <row r="204" spans="1:7" ht="11.25" customHeight="1" thickBot="1">
      <c r="A204" s="462"/>
      <c r="B204" s="463"/>
      <c r="C204" s="463"/>
      <c r="D204" s="463"/>
      <c r="E204" s="463"/>
      <c r="F204" s="464"/>
    </row>
    <row r="205" spans="1:7" ht="13.5" thickBot="1"/>
    <row r="206" spans="1:7" s="43" customFormat="1" ht="13.5" customHeight="1" thickBot="1">
      <c r="B206" s="148" t="s">
        <v>68</v>
      </c>
      <c r="D206" s="470" t="s">
        <v>1</v>
      </c>
      <c r="E206" s="471"/>
      <c r="F206" s="149">
        <v>0</v>
      </c>
    </row>
    <row r="207" spans="1:7" s="43" customFormat="1" ht="13.5" thickBot="1">
      <c r="D207" s="150"/>
      <c r="E207" s="151"/>
    </row>
    <row r="208" spans="1:7" s="43" customFormat="1" ht="11.25" customHeight="1">
      <c r="A208" s="472" t="s">
        <v>276</v>
      </c>
      <c r="B208" s="473"/>
      <c r="C208" s="473"/>
      <c r="D208" s="473"/>
      <c r="E208" s="475" t="s">
        <v>2</v>
      </c>
      <c r="F208" s="476"/>
    </row>
    <row r="209" spans="1:6" ht="51.75" thickBot="1">
      <c r="A209" s="372" t="s">
        <v>716</v>
      </c>
      <c r="B209" s="84" t="s">
        <v>3</v>
      </c>
      <c r="C209" s="84" t="s">
        <v>4</v>
      </c>
      <c r="D209" s="84" t="s">
        <v>5</v>
      </c>
      <c r="E209" s="85" t="s">
        <v>6</v>
      </c>
      <c r="F209" s="86" t="s">
        <v>7</v>
      </c>
    </row>
    <row r="210" spans="1:6" s="43" customFormat="1" ht="13.5" thickTop="1">
      <c r="A210" s="152">
        <v>1</v>
      </c>
      <c r="B210" s="153" t="s">
        <v>39</v>
      </c>
      <c r="C210" s="154" t="s">
        <v>34</v>
      </c>
      <c r="D210" s="88">
        <v>1.23</v>
      </c>
      <c r="E210" s="155">
        <v>5.66</v>
      </c>
      <c r="F210" s="156">
        <f>E210*D210</f>
        <v>6.9618000000000002</v>
      </c>
    </row>
    <row r="211" spans="1:6" s="43" customFormat="1">
      <c r="A211" s="100">
        <v>2</v>
      </c>
      <c r="B211" s="95" t="s">
        <v>40</v>
      </c>
      <c r="C211" s="136" t="s">
        <v>34</v>
      </c>
      <c r="D211" s="88">
        <v>1.23</v>
      </c>
      <c r="E211" s="138">
        <v>30</v>
      </c>
      <c r="F211" s="157">
        <f>E211*D211</f>
        <v>36.9</v>
      </c>
    </row>
    <row r="212" spans="1:6" s="43" customFormat="1">
      <c r="A212" s="152">
        <v>3</v>
      </c>
      <c r="B212" s="158" t="s">
        <v>41</v>
      </c>
      <c r="C212" s="154" t="s">
        <v>34</v>
      </c>
      <c r="D212" s="88">
        <v>1.23</v>
      </c>
      <c r="E212" s="159">
        <v>17.579999999999998</v>
      </c>
      <c r="F212" s="157">
        <f t="shared" ref="F212:F235" si="6">E212*D212</f>
        <v>21.623399999999997</v>
      </c>
    </row>
    <row r="213" spans="1:6" s="43" customFormat="1">
      <c r="A213" s="100">
        <v>4</v>
      </c>
      <c r="B213" s="160" t="s">
        <v>13</v>
      </c>
      <c r="C213" s="136" t="s">
        <v>42</v>
      </c>
      <c r="D213" s="88">
        <v>1.23</v>
      </c>
      <c r="E213" s="161">
        <v>3.9</v>
      </c>
      <c r="F213" s="157">
        <f t="shared" si="6"/>
        <v>4.7969999999999997</v>
      </c>
    </row>
    <row r="214" spans="1:6" s="43" customFormat="1">
      <c r="A214" s="100">
        <v>5</v>
      </c>
      <c r="B214" s="153" t="s">
        <v>8</v>
      </c>
      <c r="C214" s="136" t="s">
        <v>43</v>
      </c>
      <c r="D214" s="88">
        <v>1.23</v>
      </c>
      <c r="E214" s="161">
        <v>2.16</v>
      </c>
      <c r="F214" s="157">
        <f t="shared" si="6"/>
        <v>2.6568000000000001</v>
      </c>
    </row>
    <row r="215" spans="1:6" s="43" customFormat="1">
      <c r="A215" s="100"/>
      <c r="B215" s="160" t="s">
        <v>69</v>
      </c>
      <c r="C215" s="136"/>
      <c r="D215" s="93">
        <v>0.34</v>
      </c>
      <c r="E215" s="161">
        <v>500</v>
      </c>
      <c r="F215" s="157">
        <f t="shared" si="6"/>
        <v>170</v>
      </c>
    </row>
    <row r="216" spans="1:6" s="43" customFormat="1">
      <c r="A216" s="100">
        <v>6</v>
      </c>
      <c r="B216" s="95" t="s">
        <v>11</v>
      </c>
      <c r="C216" s="136" t="s">
        <v>43</v>
      </c>
      <c r="D216" s="88">
        <v>1.23</v>
      </c>
      <c r="E216" s="161">
        <v>1.1599999999999999</v>
      </c>
      <c r="F216" s="157">
        <f t="shared" si="6"/>
        <v>1.4267999999999998</v>
      </c>
    </row>
    <row r="217" spans="1:6" s="43" customFormat="1">
      <c r="A217" s="100">
        <v>7</v>
      </c>
      <c r="B217" s="95" t="s">
        <v>12</v>
      </c>
      <c r="C217" s="136" t="s">
        <v>43</v>
      </c>
      <c r="D217" s="88">
        <v>1.23</v>
      </c>
      <c r="E217" s="161">
        <v>21.66</v>
      </c>
      <c r="F217" s="157">
        <f t="shared" si="6"/>
        <v>26.6418</v>
      </c>
    </row>
    <row r="218" spans="1:6" s="43" customFormat="1">
      <c r="A218" s="100">
        <v>8</v>
      </c>
      <c r="B218" s="95" t="s">
        <v>8</v>
      </c>
      <c r="C218" s="136" t="s">
        <v>70</v>
      </c>
      <c r="D218" s="88">
        <v>1.23</v>
      </c>
      <c r="E218" s="161">
        <v>1.38</v>
      </c>
      <c r="F218" s="157">
        <f t="shared" si="6"/>
        <v>1.6973999999999998</v>
      </c>
    </row>
    <row r="219" spans="1:6" s="43" customFormat="1">
      <c r="A219" s="100"/>
      <c r="B219" s="160" t="s">
        <v>51</v>
      </c>
      <c r="C219" s="136"/>
      <c r="D219" s="104">
        <v>0.32</v>
      </c>
      <c r="E219" s="161">
        <v>300</v>
      </c>
      <c r="F219" s="157">
        <f t="shared" si="6"/>
        <v>96</v>
      </c>
    </row>
    <row r="220" spans="1:6" s="43" customFormat="1">
      <c r="A220" s="100">
        <v>9</v>
      </c>
      <c r="B220" s="95" t="s">
        <v>11</v>
      </c>
      <c r="C220" s="136" t="s">
        <v>70</v>
      </c>
      <c r="D220" s="88">
        <v>1.23</v>
      </c>
      <c r="E220" s="161">
        <v>1.1599999999999999</v>
      </c>
      <c r="F220" s="157">
        <f t="shared" si="6"/>
        <v>1.4267999999999998</v>
      </c>
    </row>
    <row r="221" spans="1:6" s="43" customFormat="1">
      <c r="A221" s="100">
        <v>10</v>
      </c>
      <c r="B221" s="95" t="s">
        <v>44</v>
      </c>
      <c r="C221" s="136" t="s">
        <v>70</v>
      </c>
      <c r="D221" s="88">
        <v>1.23</v>
      </c>
      <c r="E221" s="161">
        <v>2.16</v>
      </c>
      <c r="F221" s="157">
        <f t="shared" si="6"/>
        <v>2.6568000000000001</v>
      </c>
    </row>
    <row r="222" spans="1:6" s="43" customFormat="1">
      <c r="A222" s="100"/>
      <c r="B222" s="160" t="s">
        <v>46</v>
      </c>
      <c r="C222" s="136"/>
      <c r="D222" s="174">
        <v>125</v>
      </c>
      <c r="E222" s="161">
        <v>1.3</v>
      </c>
      <c r="F222" s="157">
        <f t="shared" si="6"/>
        <v>162.5</v>
      </c>
    </row>
    <row r="223" spans="1:6" s="43" customFormat="1">
      <c r="A223" s="100">
        <v>11</v>
      </c>
      <c r="B223" s="160" t="s">
        <v>17</v>
      </c>
      <c r="C223" s="136" t="s">
        <v>70</v>
      </c>
      <c r="D223" s="88">
        <v>1.23</v>
      </c>
      <c r="E223" s="161">
        <v>3.15</v>
      </c>
      <c r="F223" s="157">
        <f t="shared" si="6"/>
        <v>3.8744999999999998</v>
      </c>
    </row>
    <row r="224" spans="1:6" s="43" customFormat="1">
      <c r="A224" s="100">
        <v>12</v>
      </c>
      <c r="B224" s="95" t="s">
        <v>369</v>
      </c>
      <c r="C224" s="136" t="s">
        <v>71</v>
      </c>
      <c r="D224" s="88">
        <v>1.23</v>
      </c>
      <c r="E224" s="161">
        <f>1.96*6</f>
        <v>11.76</v>
      </c>
      <c r="F224" s="157">
        <f t="shared" si="6"/>
        <v>14.4648</v>
      </c>
    </row>
    <row r="225" spans="1:7" s="43" customFormat="1">
      <c r="A225" s="100">
        <v>13</v>
      </c>
      <c r="B225" s="95" t="s">
        <v>206</v>
      </c>
      <c r="C225" s="136" t="s">
        <v>71</v>
      </c>
      <c r="D225" s="88">
        <v>1.23</v>
      </c>
      <c r="E225" s="161">
        <f>1.92*6</f>
        <v>11.52</v>
      </c>
      <c r="F225" s="157">
        <f t="shared" si="6"/>
        <v>14.169599999999999</v>
      </c>
    </row>
    <row r="226" spans="1:7" s="43" customFormat="1">
      <c r="A226" s="100"/>
      <c r="B226" s="95" t="s">
        <v>73</v>
      </c>
      <c r="C226" s="136"/>
      <c r="D226" s="137">
        <v>22.77</v>
      </c>
      <c r="E226" s="161">
        <v>4</v>
      </c>
      <c r="F226" s="157">
        <f t="shared" si="6"/>
        <v>91.08</v>
      </c>
    </row>
    <row r="227" spans="1:7" s="43" customFormat="1">
      <c r="A227" s="100"/>
      <c r="B227" s="95" t="s">
        <v>74</v>
      </c>
      <c r="C227" s="136"/>
      <c r="D227" s="137">
        <v>26.65</v>
      </c>
      <c r="E227" s="161">
        <v>1.2</v>
      </c>
      <c r="F227" s="157">
        <f t="shared" si="6"/>
        <v>31.979999999999997</v>
      </c>
    </row>
    <row r="228" spans="1:7" s="43" customFormat="1">
      <c r="A228" s="100"/>
      <c r="B228" s="162" t="s">
        <v>75</v>
      </c>
      <c r="C228" s="163"/>
      <c r="D228" s="88">
        <v>12.11</v>
      </c>
      <c r="E228" s="161">
        <v>2</v>
      </c>
      <c r="F228" s="157">
        <f t="shared" si="6"/>
        <v>24.22</v>
      </c>
    </row>
    <row r="229" spans="1:7" s="43" customFormat="1">
      <c r="A229" s="100"/>
      <c r="B229" s="95" t="s">
        <v>621</v>
      </c>
      <c r="C229" s="136"/>
      <c r="D229" s="137">
        <v>53.94</v>
      </c>
      <c r="E229" s="161">
        <v>0.3</v>
      </c>
      <c r="F229" s="157">
        <f t="shared" si="6"/>
        <v>16.181999999999999</v>
      </c>
    </row>
    <row r="230" spans="1:7" s="43" customFormat="1">
      <c r="A230" s="100"/>
      <c r="B230" s="95" t="s">
        <v>76</v>
      </c>
      <c r="C230" s="136"/>
      <c r="D230" s="137"/>
      <c r="E230" s="161">
        <v>0</v>
      </c>
      <c r="F230" s="157">
        <f t="shared" si="6"/>
        <v>0</v>
      </c>
    </row>
    <row r="231" spans="1:7" s="43" customFormat="1">
      <c r="A231" s="100"/>
      <c r="B231" s="95" t="s">
        <v>620</v>
      </c>
      <c r="C231" s="136"/>
      <c r="D231" s="137"/>
      <c r="E231" s="161">
        <v>0</v>
      </c>
      <c r="F231" s="157">
        <f t="shared" si="6"/>
        <v>0</v>
      </c>
    </row>
    <row r="232" spans="1:7" s="43" customFormat="1">
      <c r="A232" s="100">
        <v>14</v>
      </c>
      <c r="B232" s="95" t="s">
        <v>77</v>
      </c>
      <c r="C232" s="136" t="s">
        <v>21</v>
      </c>
      <c r="D232" s="88">
        <v>1.23</v>
      </c>
      <c r="E232" s="161">
        <v>1.6</v>
      </c>
      <c r="F232" s="157">
        <f t="shared" si="6"/>
        <v>1.968</v>
      </c>
    </row>
    <row r="233" spans="1:7" s="43" customFormat="1">
      <c r="A233" s="100">
        <v>15</v>
      </c>
      <c r="B233" s="95" t="s">
        <v>53</v>
      </c>
      <c r="C233" s="136" t="s">
        <v>21</v>
      </c>
      <c r="D233" s="88">
        <v>1.23</v>
      </c>
      <c r="E233" s="161">
        <v>1.6</v>
      </c>
      <c r="F233" s="157">
        <f t="shared" si="6"/>
        <v>1.968</v>
      </c>
    </row>
    <row r="234" spans="1:7" s="43" customFormat="1">
      <c r="A234" s="100">
        <v>16</v>
      </c>
      <c r="B234" s="95" t="s">
        <v>78</v>
      </c>
      <c r="C234" s="136" t="s">
        <v>79</v>
      </c>
      <c r="D234" s="137"/>
      <c r="E234" s="161">
        <v>0</v>
      </c>
      <c r="F234" s="157">
        <f t="shared" si="6"/>
        <v>0</v>
      </c>
    </row>
    <row r="235" spans="1:7" s="43" customFormat="1" ht="13.5" thickBot="1">
      <c r="A235" s="164">
        <v>17</v>
      </c>
      <c r="B235" s="165" t="s">
        <v>80</v>
      </c>
      <c r="C235" s="166" t="s">
        <v>79</v>
      </c>
      <c r="D235" s="167"/>
      <c r="E235" s="168">
        <v>0</v>
      </c>
      <c r="F235" s="169">
        <f t="shared" si="6"/>
        <v>0</v>
      </c>
    </row>
    <row r="236" spans="1:7" s="43" customFormat="1" ht="12.75" customHeight="1">
      <c r="A236" s="477" t="s">
        <v>30</v>
      </c>
      <c r="B236" s="478"/>
      <c r="C236" s="146"/>
      <c r="D236" s="170"/>
      <c r="E236" s="155"/>
      <c r="F236" s="156">
        <f>SUM(F210:F235)</f>
        <v>735.19549999999992</v>
      </c>
      <c r="G236" s="114">
        <f>F206*F236</f>
        <v>0</v>
      </c>
    </row>
    <row r="237" spans="1:7" s="43" customFormat="1" ht="13.5" customHeight="1" thickBot="1">
      <c r="A237" s="467" t="s">
        <v>31</v>
      </c>
      <c r="B237" s="468"/>
      <c r="C237" s="469"/>
      <c r="D237" s="167"/>
      <c r="E237" s="171">
        <f>E210+E211+E212+E213+E214+E216+E217+E218+E220+E221+E223+E224+E225+E232+E233</f>
        <v>116.44999999999997</v>
      </c>
      <c r="F237" s="172"/>
      <c r="G237" s="118" t="s">
        <v>277</v>
      </c>
    </row>
    <row r="238" spans="1:7" ht="13.5" thickBot="1"/>
    <row r="239" spans="1:7" ht="11.25" customHeight="1">
      <c r="A239" s="456" t="s">
        <v>656</v>
      </c>
      <c r="B239" s="457"/>
      <c r="C239" s="457"/>
      <c r="D239" s="457"/>
      <c r="E239" s="457"/>
      <c r="F239" s="458"/>
    </row>
    <row r="240" spans="1:7" ht="11.25" customHeight="1">
      <c r="A240" s="459"/>
      <c r="B240" s="460"/>
      <c r="C240" s="460"/>
      <c r="D240" s="460"/>
      <c r="E240" s="460"/>
      <c r="F240" s="461"/>
    </row>
    <row r="241" spans="1:8" ht="11.25" customHeight="1" thickBot="1">
      <c r="A241" s="462"/>
      <c r="B241" s="463"/>
      <c r="C241" s="463"/>
      <c r="D241" s="463"/>
      <c r="E241" s="463"/>
      <c r="F241" s="464"/>
    </row>
    <row r="242" spans="1:8" ht="13.5" thickBot="1"/>
    <row r="243" spans="1:8" ht="13.5" thickBot="1">
      <c r="B243" s="2" t="s">
        <v>81</v>
      </c>
      <c r="D243" s="470" t="s">
        <v>1</v>
      </c>
      <c r="E243" s="471"/>
      <c r="F243" s="81">
        <v>0</v>
      </c>
    </row>
    <row r="244" spans="1:8" ht="13.5" thickBot="1"/>
    <row r="245" spans="1:8" ht="11.25" customHeight="1">
      <c r="A245" s="472" t="s">
        <v>276</v>
      </c>
      <c r="B245" s="473"/>
      <c r="C245" s="473"/>
      <c r="D245" s="473"/>
      <c r="E245" s="465" t="s">
        <v>2</v>
      </c>
      <c r="F245" s="466"/>
    </row>
    <row r="246" spans="1:8" ht="51.75" thickBot="1">
      <c r="A246" s="372" t="s">
        <v>716</v>
      </c>
      <c r="B246" s="84" t="s">
        <v>3</v>
      </c>
      <c r="C246" s="84" t="s">
        <v>4</v>
      </c>
      <c r="D246" s="84" t="s">
        <v>5</v>
      </c>
      <c r="E246" s="85" t="s">
        <v>6</v>
      </c>
      <c r="F246" s="86" t="s">
        <v>7</v>
      </c>
    </row>
    <row r="247" spans="1:8" ht="13.5" thickTop="1">
      <c r="A247" s="11">
        <v>1</v>
      </c>
      <c r="B247" s="135" t="s">
        <v>41</v>
      </c>
      <c r="C247" s="132" t="s">
        <v>34</v>
      </c>
      <c r="D247" s="88">
        <v>1.23</v>
      </c>
      <c r="E247" s="129">
        <v>17.579999999999998</v>
      </c>
      <c r="F247" s="130">
        <f>E247*D247</f>
        <v>21.623399999999997</v>
      </c>
      <c r="H247" s="173"/>
    </row>
    <row r="248" spans="1:8">
      <c r="A248" s="17">
        <v>2</v>
      </c>
      <c r="B248" s="91" t="s">
        <v>13</v>
      </c>
      <c r="C248" s="133" t="s">
        <v>42</v>
      </c>
      <c r="D248" s="88">
        <v>1.23</v>
      </c>
      <c r="E248" s="134">
        <v>3.9</v>
      </c>
      <c r="F248" s="130">
        <f>E248*D248</f>
        <v>4.7969999999999997</v>
      </c>
    </row>
    <row r="249" spans="1:8">
      <c r="A249" s="17">
        <v>3</v>
      </c>
      <c r="B249" s="96" t="s">
        <v>8</v>
      </c>
      <c r="C249" s="133" t="s">
        <v>43</v>
      </c>
      <c r="D249" s="88">
        <v>1.23</v>
      </c>
      <c r="E249" s="134">
        <v>0.9</v>
      </c>
      <c r="F249" s="130">
        <f t="shared" ref="F249:F275" si="7">E249*D249</f>
        <v>1.107</v>
      </c>
    </row>
    <row r="250" spans="1:8">
      <c r="A250" s="17"/>
      <c r="B250" s="91" t="s">
        <v>69</v>
      </c>
      <c r="C250" s="133"/>
      <c r="D250" s="93">
        <v>0.34</v>
      </c>
      <c r="E250" s="134">
        <v>200</v>
      </c>
      <c r="F250" s="130">
        <f t="shared" si="7"/>
        <v>68</v>
      </c>
    </row>
    <row r="251" spans="1:8">
      <c r="A251" s="17">
        <v>4</v>
      </c>
      <c r="B251" s="95" t="s">
        <v>11</v>
      </c>
      <c r="C251" s="133" t="s">
        <v>43</v>
      </c>
      <c r="D251" s="88">
        <v>1.23</v>
      </c>
      <c r="E251" s="134">
        <v>1.1599999999999999</v>
      </c>
      <c r="F251" s="130">
        <f t="shared" si="7"/>
        <v>1.4267999999999998</v>
      </c>
    </row>
    <row r="252" spans="1:8">
      <c r="A252" s="17">
        <v>5</v>
      </c>
      <c r="B252" s="96" t="s">
        <v>12</v>
      </c>
      <c r="C252" s="133" t="s">
        <v>43</v>
      </c>
      <c r="D252" s="88">
        <v>1.23</v>
      </c>
      <c r="E252" s="134">
        <v>21.66</v>
      </c>
      <c r="F252" s="130">
        <f t="shared" si="7"/>
        <v>26.6418</v>
      </c>
    </row>
    <row r="253" spans="1:8">
      <c r="A253" s="17">
        <v>6</v>
      </c>
      <c r="B253" s="54" t="s">
        <v>8</v>
      </c>
      <c r="C253" s="133" t="s">
        <v>45</v>
      </c>
      <c r="D253" s="88">
        <v>1.23</v>
      </c>
      <c r="E253" s="134">
        <v>0.96</v>
      </c>
      <c r="F253" s="130">
        <f t="shared" si="7"/>
        <v>1.1807999999999998</v>
      </c>
    </row>
    <row r="254" spans="1:8">
      <c r="A254" s="17"/>
      <c r="B254" s="91" t="s">
        <v>19</v>
      </c>
      <c r="C254" s="133"/>
      <c r="D254" s="97">
        <v>0.26</v>
      </c>
      <c r="E254" s="134">
        <v>200</v>
      </c>
      <c r="F254" s="130">
        <f t="shared" si="7"/>
        <v>52</v>
      </c>
    </row>
    <row r="255" spans="1:8">
      <c r="A255" s="17">
        <v>7</v>
      </c>
      <c r="B255" s="95" t="s">
        <v>11</v>
      </c>
      <c r="C255" s="136" t="s">
        <v>45</v>
      </c>
      <c r="D255" s="88">
        <v>1.23</v>
      </c>
      <c r="E255" s="134">
        <v>1.1599999999999999</v>
      </c>
      <c r="F255" s="130">
        <f t="shared" si="7"/>
        <v>1.4267999999999998</v>
      </c>
    </row>
    <row r="256" spans="1:8">
      <c r="A256" s="17">
        <v>8</v>
      </c>
      <c r="B256" s="95" t="s">
        <v>44</v>
      </c>
      <c r="C256" s="133" t="s">
        <v>45</v>
      </c>
      <c r="D256" s="88">
        <v>1.23</v>
      </c>
      <c r="E256" s="134">
        <v>2.16</v>
      </c>
      <c r="F256" s="130">
        <f t="shared" si="7"/>
        <v>2.6568000000000001</v>
      </c>
    </row>
    <row r="257" spans="1:6">
      <c r="A257" s="17">
        <v>9</v>
      </c>
      <c r="B257" s="91" t="s">
        <v>15</v>
      </c>
      <c r="C257" s="136" t="s">
        <v>45</v>
      </c>
      <c r="D257" s="88">
        <v>1.23</v>
      </c>
      <c r="E257" s="134">
        <v>0.24</v>
      </c>
      <c r="F257" s="130">
        <f t="shared" si="7"/>
        <v>0.29519999999999996</v>
      </c>
    </row>
    <row r="258" spans="1:6">
      <c r="A258" s="17"/>
      <c r="B258" s="91" t="s">
        <v>82</v>
      </c>
      <c r="C258" s="133"/>
      <c r="D258" s="174">
        <v>0.89</v>
      </c>
      <c r="E258" s="134">
        <v>100</v>
      </c>
      <c r="F258" s="130">
        <f t="shared" si="7"/>
        <v>89</v>
      </c>
    </row>
    <row r="259" spans="1:6">
      <c r="A259" s="17">
        <v>10</v>
      </c>
      <c r="B259" s="91" t="s">
        <v>17</v>
      </c>
      <c r="C259" s="133" t="s">
        <v>45</v>
      </c>
      <c r="D259" s="88">
        <v>1.23</v>
      </c>
      <c r="E259" s="134">
        <v>1.8</v>
      </c>
      <c r="F259" s="130">
        <f t="shared" si="7"/>
        <v>2.214</v>
      </c>
    </row>
    <row r="260" spans="1:6">
      <c r="A260" s="17">
        <v>11</v>
      </c>
      <c r="B260" s="96" t="s">
        <v>20</v>
      </c>
      <c r="C260" s="133" t="s">
        <v>45</v>
      </c>
      <c r="D260" s="88">
        <v>1.23</v>
      </c>
      <c r="E260" s="134">
        <v>0.96</v>
      </c>
      <c r="F260" s="130">
        <f t="shared" si="7"/>
        <v>1.1807999999999998</v>
      </c>
    </row>
    <row r="261" spans="1:6">
      <c r="A261" s="17">
        <v>12</v>
      </c>
      <c r="B261" s="96" t="s">
        <v>83</v>
      </c>
      <c r="C261" s="133" t="s">
        <v>45</v>
      </c>
      <c r="D261" s="88">
        <v>1.23</v>
      </c>
      <c r="E261" s="134">
        <v>0.92</v>
      </c>
      <c r="F261" s="130">
        <f t="shared" si="7"/>
        <v>1.1315999999999999</v>
      </c>
    </row>
    <row r="262" spans="1:6">
      <c r="A262" s="17"/>
      <c r="B262" s="96" t="s">
        <v>647</v>
      </c>
      <c r="C262" s="133"/>
      <c r="D262" s="137">
        <v>21.64</v>
      </c>
      <c r="E262" s="134">
        <v>1.2</v>
      </c>
      <c r="F262" s="130">
        <f t="shared" si="7"/>
        <v>25.968</v>
      </c>
    </row>
    <row r="263" spans="1:6">
      <c r="A263" s="17"/>
      <c r="B263" s="96" t="s">
        <v>622</v>
      </c>
      <c r="C263" s="133"/>
      <c r="D263" s="137">
        <v>14.61</v>
      </c>
      <c r="E263" s="134">
        <v>1.3</v>
      </c>
      <c r="F263" s="130">
        <f t="shared" si="7"/>
        <v>18.992999999999999</v>
      </c>
    </row>
    <row r="264" spans="1:6">
      <c r="A264" s="17">
        <v>13</v>
      </c>
      <c r="B264" s="95" t="s">
        <v>77</v>
      </c>
      <c r="C264" s="136" t="s">
        <v>21</v>
      </c>
      <c r="D264" s="88">
        <v>1.23</v>
      </c>
      <c r="E264" s="134">
        <v>1.6</v>
      </c>
      <c r="F264" s="130">
        <f t="shared" si="7"/>
        <v>1.968</v>
      </c>
    </row>
    <row r="265" spans="1:6">
      <c r="A265" s="17">
        <v>14</v>
      </c>
      <c r="B265" s="96" t="s">
        <v>47</v>
      </c>
      <c r="C265" s="136" t="s">
        <v>54</v>
      </c>
      <c r="D265" s="88">
        <v>1.23</v>
      </c>
      <c r="E265" s="134">
        <v>1.92</v>
      </c>
      <c r="F265" s="130">
        <f t="shared" si="7"/>
        <v>2.3615999999999997</v>
      </c>
    </row>
    <row r="266" spans="1:6">
      <c r="A266" s="17">
        <v>15</v>
      </c>
      <c r="B266" s="96" t="s">
        <v>623</v>
      </c>
      <c r="C266" s="136" t="s">
        <v>54</v>
      </c>
      <c r="D266" s="88">
        <v>1.23</v>
      </c>
      <c r="E266" s="134">
        <v>1.84</v>
      </c>
      <c r="F266" s="130">
        <f t="shared" si="7"/>
        <v>2.2631999999999999</v>
      </c>
    </row>
    <row r="267" spans="1:6">
      <c r="A267" s="17"/>
      <c r="B267" s="95" t="s">
        <v>643</v>
      </c>
      <c r="C267" s="136"/>
      <c r="D267" s="174">
        <v>14.78</v>
      </c>
      <c r="E267" s="134">
        <v>1.2</v>
      </c>
      <c r="F267" s="130">
        <f t="shared" si="7"/>
        <v>17.735999999999997</v>
      </c>
    </row>
    <row r="268" spans="1:6">
      <c r="A268" s="17"/>
      <c r="B268" s="95" t="s">
        <v>74</v>
      </c>
      <c r="C268" s="136"/>
      <c r="D268" s="137"/>
      <c r="E268" s="134">
        <v>1.2</v>
      </c>
      <c r="F268" s="130">
        <f t="shared" si="7"/>
        <v>0</v>
      </c>
    </row>
    <row r="269" spans="1:6">
      <c r="A269" s="17"/>
      <c r="B269" s="95" t="s">
        <v>85</v>
      </c>
      <c r="C269" s="136"/>
      <c r="D269" s="137">
        <v>9.4499999999999993</v>
      </c>
      <c r="E269" s="134">
        <v>2</v>
      </c>
      <c r="F269" s="130">
        <f t="shared" si="7"/>
        <v>18.899999999999999</v>
      </c>
    </row>
    <row r="270" spans="1:6">
      <c r="A270" s="17"/>
      <c r="B270" s="95" t="s">
        <v>86</v>
      </c>
      <c r="C270" s="136"/>
      <c r="D270" s="137">
        <v>1173.29</v>
      </c>
      <c r="E270" s="134">
        <v>0.01</v>
      </c>
      <c r="F270" s="130">
        <f t="shared" si="7"/>
        <v>11.732899999999999</v>
      </c>
    </row>
    <row r="271" spans="1:6">
      <c r="A271" s="17"/>
      <c r="B271" s="95" t="s">
        <v>87</v>
      </c>
      <c r="C271" s="136"/>
      <c r="D271" s="137"/>
      <c r="E271" s="134">
        <v>2</v>
      </c>
      <c r="F271" s="130">
        <f t="shared" si="7"/>
        <v>0</v>
      </c>
    </row>
    <row r="272" spans="1:6">
      <c r="A272" s="17"/>
      <c r="B272" s="95" t="s">
        <v>624</v>
      </c>
      <c r="C272" s="136"/>
      <c r="D272" s="139"/>
      <c r="E272" s="134">
        <v>0.01</v>
      </c>
      <c r="F272" s="130">
        <f t="shared" si="7"/>
        <v>0</v>
      </c>
    </row>
    <row r="273" spans="1:7">
      <c r="A273" s="17">
        <v>16</v>
      </c>
      <c r="B273" s="95" t="s">
        <v>53</v>
      </c>
      <c r="C273" s="133" t="s">
        <v>54</v>
      </c>
      <c r="D273" s="88">
        <v>1.23</v>
      </c>
      <c r="E273" s="134">
        <v>1.6</v>
      </c>
      <c r="F273" s="130">
        <f t="shared" si="7"/>
        <v>1.968</v>
      </c>
    </row>
    <row r="274" spans="1:7">
      <c r="A274" s="17">
        <v>17</v>
      </c>
      <c r="B274" s="95" t="s">
        <v>88</v>
      </c>
      <c r="C274" s="136" t="s">
        <v>9</v>
      </c>
      <c r="D274" s="104"/>
      <c r="E274" s="134">
        <v>0</v>
      </c>
      <c r="F274" s="130">
        <f t="shared" si="7"/>
        <v>0</v>
      </c>
    </row>
    <row r="275" spans="1:7" ht="13.5" thickBot="1">
      <c r="A275" s="30">
        <v>18</v>
      </c>
      <c r="B275" s="105" t="s">
        <v>89</v>
      </c>
      <c r="C275" s="140" t="s">
        <v>9</v>
      </c>
      <c r="D275" s="208">
        <v>1.23</v>
      </c>
      <c r="E275" s="116">
        <v>5.64</v>
      </c>
      <c r="F275" s="68">
        <f t="shared" si="7"/>
        <v>6.9371999999999998</v>
      </c>
    </row>
    <row r="276" spans="1:7" ht="12.75" customHeight="1">
      <c r="A276" s="454" t="s">
        <v>30</v>
      </c>
      <c r="B276" s="455"/>
      <c r="C276" s="146"/>
      <c r="D276" s="175"/>
      <c r="E276" s="129"/>
      <c r="F276" s="130">
        <f>SUM(F247:F275)</f>
        <v>383.50989999999996</v>
      </c>
      <c r="G276" s="114">
        <f>F243*F276</f>
        <v>0</v>
      </c>
    </row>
    <row r="277" spans="1:7" ht="13.5" customHeight="1" thickBot="1">
      <c r="A277" s="467" t="s">
        <v>31</v>
      </c>
      <c r="B277" s="468"/>
      <c r="C277" s="469"/>
      <c r="D277" s="144"/>
      <c r="E277" s="116">
        <f>E247+E248+E249+E251+E252+E253+E255+E256+E257+E259+E260+E261+E264+E265+E266+E273+E275</f>
        <v>66</v>
      </c>
      <c r="F277" s="131"/>
      <c r="G277" s="118" t="s">
        <v>277</v>
      </c>
    </row>
    <row r="278" spans="1:7" ht="13.5" thickBot="1"/>
    <row r="279" spans="1:7" ht="11.25" customHeight="1">
      <c r="A279" s="456" t="s">
        <v>32</v>
      </c>
      <c r="B279" s="457"/>
      <c r="C279" s="457"/>
      <c r="D279" s="457"/>
      <c r="E279" s="457"/>
      <c r="F279" s="458"/>
    </row>
    <row r="280" spans="1:7" ht="11.25" customHeight="1">
      <c r="A280" s="459"/>
      <c r="B280" s="460"/>
      <c r="C280" s="460"/>
      <c r="D280" s="460"/>
      <c r="E280" s="460"/>
      <c r="F280" s="461"/>
    </row>
    <row r="281" spans="1:7" ht="11.25" customHeight="1" thickBot="1">
      <c r="A281" s="462"/>
      <c r="B281" s="463"/>
      <c r="C281" s="463"/>
      <c r="D281" s="463"/>
      <c r="E281" s="463"/>
      <c r="F281" s="464"/>
    </row>
    <row r="282" spans="1:7" ht="13.5" thickBot="1">
      <c r="C282" s="176"/>
      <c r="D282" s="176"/>
      <c r="E282" s="176"/>
      <c r="F282" s="176"/>
    </row>
    <row r="283" spans="1:7" ht="13.5" customHeight="1" thickBot="1">
      <c r="B283" s="2" t="s">
        <v>90</v>
      </c>
      <c r="D283" s="470" t="s">
        <v>1</v>
      </c>
      <c r="E283" s="471"/>
      <c r="F283" s="81">
        <v>0</v>
      </c>
    </row>
    <row r="284" spans="1:7" ht="13.5" thickBot="1"/>
    <row r="285" spans="1:7" ht="11.25" customHeight="1">
      <c r="A285" s="472" t="s">
        <v>276</v>
      </c>
      <c r="B285" s="473"/>
      <c r="C285" s="473"/>
      <c r="D285" s="473"/>
      <c r="E285" s="465" t="s">
        <v>2</v>
      </c>
      <c r="F285" s="466"/>
    </row>
    <row r="286" spans="1:7" ht="51.75" thickBot="1">
      <c r="A286" s="372" t="s">
        <v>716</v>
      </c>
      <c r="B286" s="84" t="s">
        <v>3</v>
      </c>
      <c r="C286" s="84" t="s">
        <v>4</v>
      </c>
      <c r="D286" s="84" t="s">
        <v>5</v>
      </c>
      <c r="E286" s="85" t="s">
        <v>6</v>
      </c>
      <c r="F286" s="86" t="s">
        <v>7</v>
      </c>
    </row>
    <row r="287" spans="1:7" ht="13.5" thickTop="1">
      <c r="A287" s="11">
        <v>1</v>
      </c>
      <c r="B287" s="54" t="s">
        <v>8</v>
      </c>
      <c r="C287" s="87" t="s">
        <v>9</v>
      </c>
      <c r="D287" s="88">
        <v>1.23</v>
      </c>
      <c r="E287" s="89">
        <v>1.2</v>
      </c>
      <c r="F287" s="90">
        <f>E287*D287</f>
        <v>1.476</v>
      </c>
    </row>
    <row r="288" spans="1:7">
      <c r="A288" s="17"/>
      <c r="B288" s="91" t="s">
        <v>10</v>
      </c>
      <c r="C288" s="92"/>
      <c r="D288" s="93">
        <v>0.35</v>
      </c>
      <c r="E288" s="94">
        <v>300</v>
      </c>
      <c r="F288" s="122">
        <f>E288*D288</f>
        <v>105</v>
      </c>
    </row>
    <row r="289" spans="1:7">
      <c r="A289" s="17">
        <v>2</v>
      </c>
      <c r="B289" s="95" t="s">
        <v>11</v>
      </c>
      <c r="C289" s="92" t="s">
        <v>9</v>
      </c>
      <c r="D289" s="88">
        <v>1.23</v>
      </c>
      <c r="E289" s="94">
        <v>1.1599999999999999</v>
      </c>
      <c r="F289" s="122">
        <f t="shared" ref="F289:F303" si="8">E289*D289</f>
        <v>1.4267999999999998</v>
      </c>
    </row>
    <row r="290" spans="1:7">
      <c r="A290" s="17">
        <v>3</v>
      </c>
      <c r="B290" s="96" t="s">
        <v>12</v>
      </c>
      <c r="C290" s="92" t="s">
        <v>9</v>
      </c>
      <c r="D290" s="88">
        <v>1.23</v>
      </c>
      <c r="E290" s="94">
        <v>20.28</v>
      </c>
      <c r="F290" s="122">
        <f t="shared" si="8"/>
        <v>24.944400000000002</v>
      </c>
    </row>
    <row r="291" spans="1:7">
      <c r="A291" s="17">
        <v>4</v>
      </c>
      <c r="B291" s="91" t="s">
        <v>13</v>
      </c>
      <c r="C291" s="92" t="s">
        <v>9</v>
      </c>
      <c r="D291" s="88">
        <v>1.23</v>
      </c>
      <c r="E291" s="94">
        <v>3.78</v>
      </c>
      <c r="F291" s="122">
        <f t="shared" si="8"/>
        <v>4.6494</v>
      </c>
    </row>
    <row r="292" spans="1:7">
      <c r="A292" s="17">
        <v>5</v>
      </c>
      <c r="B292" s="91" t="s">
        <v>14</v>
      </c>
      <c r="C292" s="92" t="s">
        <v>9</v>
      </c>
      <c r="D292" s="88">
        <v>1.23</v>
      </c>
      <c r="E292" s="94">
        <v>2.2799999999999998</v>
      </c>
      <c r="F292" s="122">
        <f t="shared" si="8"/>
        <v>2.8043999999999998</v>
      </c>
    </row>
    <row r="293" spans="1:7">
      <c r="A293" s="17">
        <v>6</v>
      </c>
      <c r="B293" s="91" t="s">
        <v>15</v>
      </c>
      <c r="C293" s="92" t="s">
        <v>9</v>
      </c>
      <c r="D293" s="88">
        <v>1.23</v>
      </c>
      <c r="E293" s="94">
        <v>0.96</v>
      </c>
      <c r="F293" s="122">
        <f t="shared" si="8"/>
        <v>1.1807999999999998</v>
      </c>
    </row>
    <row r="294" spans="1:7">
      <c r="A294" s="17"/>
      <c r="B294" s="91" t="s">
        <v>16</v>
      </c>
      <c r="C294" s="92"/>
      <c r="D294" s="99">
        <v>0.81</v>
      </c>
      <c r="E294" s="94">
        <v>150</v>
      </c>
      <c r="F294" s="122">
        <f t="shared" si="8"/>
        <v>121.50000000000001</v>
      </c>
    </row>
    <row r="295" spans="1:7">
      <c r="A295" s="17">
        <v>7</v>
      </c>
      <c r="B295" s="91" t="s">
        <v>17</v>
      </c>
      <c r="C295" s="92" t="s">
        <v>9</v>
      </c>
      <c r="D295" s="88">
        <v>1.23</v>
      </c>
      <c r="E295" s="94">
        <v>3.36</v>
      </c>
      <c r="F295" s="122">
        <f t="shared" si="8"/>
        <v>4.1327999999999996</v>
      </c>
    </row>
    <row r="296" spans="1:7">
      <c r="A296" s="17">
        <v>8</v>
      </c>
      <c r="B296" s="96" t="s">
        <v>47</v>
      </c>
      <c r="C296" s="133" t="s">
        <v>9</v>
      </c>
      <c r="D296" s="88">
        <v>1.23</v>
      </c>
      <c r="E296" s="134">
        <v>1.92</v>
      </c>
      <c r="F296" s="122">
        <f t="shared" si="8"/>
        <v>2.3615999999999997</v>
      </c>
    </row>
    <row r="297" spans="1:7">
      <c r="A297" s="17">
        <v>9</v>
      </c>
      <c r="B297" s="96" t="s">
        <v>623</v>
      </c>
      <c r="C297" s="133" t="s">
        <v>9</v>
      </c>
      <c r="D297" s="88">
        <v>1.23</v>
      </c>
      <c r="E297" s="134">
        <v>1.84</v>
      </c>
      <c r="F297" s="122">
        <f t="shared" si="8"/>
        <v>2.2631999999999999</v>
      </c>
    </row>
    <row r="298" spans="1:7">
      <c r="A298" s="17"/>
      <c r="B298" s="96" t="s">
        <v>91</v>
      </c>
      <c r="C298" s="133"/>
      <c r="D298" s="137">
        <v>11.95</v>
      </c>
      <c r="E298" s="134">
        <v>2</v>
      </c>
      <c r="F298" s="122">
        <f t="shared" si="8"/>
        <v>23.9</v>
      </c>
    </row>
    <row r="299" spans="1:7">
      <c r="A299" s="17"/>
      <c r="B299" s="96" t="s">
        <v>625</v>
      </c>
      <c r="C299" s="133"/>
      <c r="D299" s="137"/>
      <c r="E299" s="134">
        <v>2.5</v>
      </c>
      <c r="F299" s="122">
        <f t="shared" si="8"/>
        <v>0</v>
      </c>
    </row>
    <row r="300" spans="1:7">
      <c r="A300" s="17"/>
      <c r="B300" s="96" t="s">
        <v>63</v>
      </c>
      <c r="C300" s="133"/>
      <c r="D300" s="174">
        <v>14.78</v>
      </c>
      <c r="E300" s="134">
        <v>1.2</v>
      </c>
      <c r="F300" s="122">
        <f t="shared" si="8"/>
        <v>17.735999999999997</v>
      </c>
    </row>
    <row r="301" spans="1:7">
      <c r="A301" s="17"/>
      <c r="B301" s="96" t="s">
        <v>74</v>
      </c>
      <c r="C301" s="133"/>
      <c r="D301" s="137"/>
      <c r="E301" s="134">
        <v>1.2</v>
      </c>
      <c r="F301" s="122">
        <f t="shared" si="8"/>
        <v>0</v>
      </c>
    </row>
    <row r="302" spans="1:7">
      <c r="A302" s="17">
        <v>10</v>
      </c>
      <c r="B302" s="96" t="s">
        <v>25</v>
      </c>
      <c r="C302" s="92" t="s">
        <v>34</v>
      </c>
      <c r="D302" s="104"/>
      <c r="E302" s="94">
        <v>0</v>
      </c>
      <c r="F302" s="122">
        <f t="shared" si="8"/>
        <v>0</v>
      </c>
    </row>
    <row r="303" spans="1:7" ht="13.5" thickBot="1">
      <c r="A303" s="17">
        <v>11</v>
      </c>
      <c r="B303" s="105" t="s">
        <v>93</v>
      </c>
      <c r="C303" s="106" t="s">
        <v>34</v>
      </c>
      <c r="D303" s="208">
        <v>1.23</v>
      </c>
      <c r="E303" s="108">
        <v>8</v>
      </c>
      <c r="F303" s="109">
        <f t="shared" si="8"/>
        <v>9.84</v>
      </c>
    </row>
    <row r="304" spans="1:7" ht="12.75" customHeight="1">
      <c r="A304" s="454" t="s">
        <v>30</v>
      </c>
      <c r="B304" s="474"/>
      <c r="C304" s="110"/>
      <c r="D304" s="111"/>
      <c r="E304" s="129"/>
      <c r="F304" s="177">
        <f>SUM(F287:F303)</f>
        <v>323.21539999999993</v>
      </c>
      <c r="G304" s="114">
        <f>F283*F304</f>
        <v>0</v>
      </c>
    </row>
    <row r="305" spans="1:7" ht="13.5" customHeight="1" thickBot="1">
      <c r="A305" s="467" t="s">
        <v>31</v>
      </c>
      <c r="B305" s="468"/>
      <c r="C305" s="469"/>
      <c r="D305" s="115"/>
      <c r="E305" s="116">
        <f>E287+E289+E290+E291+E292+E293+E295+E296+E297+E303</f>
        <v>44.780000000000008</v>
      </c>
      <c r="F305" s="178"/>
      <c r="G305" s="118" t="s">
        <v>277</v>
      </c>
    </row>
    <row r="306" spans="1:7" ht="13.5" thickBot="1"/>
    <row r="307" spans="1:7" ht="11.25" customHeight="1">
      <c r="A307" s="456" t="s">
        <v>657</v>
      </c>
      <c r="B307" s="457"/>
      <c r="C307" s="457"/>
      <c r="D307" s="457"/>
      <c r="E307" s="457"/>
      <c r="F307" s="458"/>
    </row>
    <row r="308" spans="1:7" ht="11.25" customHeight="1">
      <c r="A308" s="459"/>
      <c r="B308" s="460"/>
      <c r="C308" s="460"/>
      <c r="D308" s="460"/>
      <c r="E308" s="460"/>
      <c r="F308" s="461"/>
    </row>
    <row r="309" spans="1:7" ht="11.25" customHeight="1">
      <c r="A309" s="459"/>
      <c r="B309" s="460"/>
      <c r="C309" s="460"/>
      <c r="D309" s="460"/>
      <c r="E309" s="460"/>
      <c r="F309" s="461"/>
    </row>
    <row r="310" spans="1:7" ht="11.25" customHeight="1" thickBot="1">
      <c r="A310" s="462"/>
      <c r="B310" s="463"/>
      <c r="C310" s="463"/>
      <c r="D310" s="463"/>
      <c r="E310" s="463"/>
      <c r="F310" s="464"/>
    </row>
    <row r="311" spans="1:7" ht="13.5" thickBot="1">
      <c r="C311" s="176"/>
      <c r="D311" s="176"/>
      <c r="E311" s="176"/>
      <c r="F311" s="176"/>
    </row>
    <row r="312" spans="1:7" ht="13.5" customHeight="1" thickBot="1">
      <c r="B312" s="2" t="s">
        <v>94</v>
      </c>
      <c r="D312" s="470" t="s">
        <v>1</v>
      </c>
      <c r="E312" s="471"/>
      <c r="F312" s="81">
        <v>0</v>
      </c>
    </row>
    <row r="313" spans="1:7" ht="13.5" thickBot="1"/>
    <row r="314" spans="1:7" ht="11.25" customHeight="1">
      <c r="A314" s="472" t="s">
        <v>276</v>
      </c>
      <c r="B314" s="473"/>
      <c r="C314" s="473"/>
      <c r="D314" s="473"/>
      <c r="E314" s="465" t="s">
        <v>2</v>
      </c>
      <c r="F314" s="466"/>
    </row>
    <row r="315" spans="1:7" ht="51.75" thickBot="1">
      <c r="A315" s="372" t="s">
        <v>716</v>
      </c>
      <c r="B315" s="84" t="s">
        <v>3</v>
      </c>
      <c r="C315" s="84" t="s">
        <v>4</v>
      </c>
      <c r="D315" s="84" t="s">
        <v>5</v>
      </c>
      <c r="E315" s="85" t="s">
        <v>6</v>
      </c>
      <c r="F315" s="86" t="s">
        <v>7</v>
      </c>
    </row>
    <row r="316" spans="1:7" ht="13.5" thickTop="1">
      <c r="A316" s="11">
        <v>1</v>
      </c>
      <c r="B316" s="135" t="s">
        <v>95</v>
      </c>
      <c r="C316" s="87" t="s">
        <v>96</v>
      </c>
      <c r="D316" s="88">
        <v>1.23</v>
      </c>
      <c r="E316" s="89">
        <v>4.4000000000000004</v>
      </c>
      <c r="F316" s="90">
        <f>D316*E316</f>
        <v>5.4119999999999999</v>
      </c>
    </row>
    <row r="317" spans="1:7">
      <c r="A317" s="17">
        <v>2</v>
      </c>
      <c r="B317" s="96" t="s">
        <v>97</v>
      </c>
      <c r="C317" s="92" t="s">
        <v>42</v>
      </c>
      <c r="D317" s="88">
        <v>1.23</v>
      </c>
      <c r="E317" s="94">
        <v>0.09</v>
      </c>
      <c r="F317" s="122">
        <f>D317*E317</f>
        <v>0.11069999999999999</v>
      </c>
    </row>
    <row r="318" spans="1:7" ht="11.25" customHeight="1">
      <c r="A318" s="17"/>
      <c r="B318" s="91" t="s">
        <v>98</v>
      </c>
      <c r="C318" s="92"/>
      <c r="D318" s="93">
        <v>0.35</v>
      </c>
      <c r="E318" s="94">
        <v>62.5</v>
      </c>
      <c r="F318" s="122">
        <f t="shared" ref="F318:F338" si="9">D318*E318</f>
        <v>21.875</v>
      </c>
    </row>
    <row r="319" spans="1:7">
      <c r="A319" s="17">
        <v>3</v>
      </c>
      <c r="B319" s="95" t="s">
        <v>99</v>
      </c>
      <c r="C319" s="92" t="s">
        <v>42</v>
      </c>
      <c r="D319" s="88">
        <v>1.23</v>
      </c>
      <c r="E319" s="94">
        <v>0.28999999999999998</v>
      </c>
      <c r="F319" s="122">
        <f t="shared" si="9"/>
        <v>0.35669999999999996</v>
      </c>
    </row>
    <row r="320" spans="1:7">
      <c r="A320" s="17">
        <v>4</v>
      </c>
      <c r="B320" s="96" t="s">
        <v>100</v>
      </c>
      <c r="C320" s="92" t="s">
        <v>42</v>
      </c>
      <c r="D320" s="88">
        <v>1.23</v>
      </c>
      <c r="E320" s="94">
        <v>5.25</v>
      </c>
      <c r="F320" s="122">
        <f t="shared" si="9"/>
        <v>6.4574999999999996</v>
      </c>
    </row>
    <row r="321" spans="1:10">
      <c r="A321" s="17">
        <v>5</v>
      </c>
      <c r="B321" s="91" t="s">
        <v>101</v>
      </c>
      <c r="C321" s="92" t="s">
        <v>42</v>
      </c>
      <c r="D321" s="88">
        <v>1.23</v>
      </c>
      <c r="E321" s="94">
        <v>0.98</v>
      </c>
      <c r="F321" s="122">
        <f t="shared" si="9"/>
        <v>1.2054</v>
      </c>
    </row>
    <row r="322" spans="1:10">
      <c r="A322" s="17">
        <v>6</v>
      </c>
      <c r="B322" s="95" t="s">
        <v>102</v>
      </c>
      <c r="C322" s="92" t="s">
        <v>42</v>
      </c>
      <c r="D322" s="88">
        <v>1.23</v>
      </c>
      <c r="E322" s="94">
        <v>0.74</v>
      </c>
      <c r="F322" s="122">
        <f t="shared" si="9"/>
        <v>0.91020000000000001</v>
      </c>
    </row>
    <row r="323" spans="1:10">
      <c r="A323" s="17"/>
      <c r="B323" s="91" t="s">
        <v>103</v>
      </c>
      <c r="C323" s="92"/>
      <c r="D323" s="346">
        <v>5.65</v>
      </c>
      <c r="E323" s="94">
        <v>5</v>
      </c>
      <c r="F323" s="122">
        <f t="shared" si="9"/>
        <v>28.25</v>
      </c>
    </row>
    <row r="324" spans="1:10">
      <c r="A324" s="17">
        <v>7</v>
      </c>
      <c r="B324" s="91" t="s">
        <v>104</v>
      </c>
      <c r="C324" s="92" t="s">
        <v>42</v>
      </c>
      <c r="D324" s="88">
        <v>1.23</v>
      </c>
      <c r="E324" s="94">
        <v>0.74</v>
      </c>
      <c r="F324" s="122">
        <f t="shared" si="9"/>
        <v>0.91020000000000001</v>
      </c>
    </row>
    <row r="325" spans="1:10">
      <c r="A325" s="17">
        <v>8</v>
      </c>
      <c r="B325" s="96" t="s">
        <v>97</v>
      </c>
      <c r="C325" s="92" t="s">
        <v>70</v>
      </c>
      <c r="D325" s="88">
        <v>1.23</v>
      </c>
      <c r="E325" s="94">
        <v>0.18</v>
      </c>
      <c r="F325" s="122">
        <f t="shared" si="9"/>
        <v>0.22139999999999999</v>
      </c>
    </row>
    <row r="326" spans="1:10">
      <c r="A326" s="17"/>
      <c r="B326" s="91" t="s">
        <v>105</v>
      </c>
      <c r="C326" s="92"/>
      <c r="D326" s="97">
        <v>0.26</v>
      </c>
      <c r="E326" s="94">
        <v>50</v>
      </c>
      <c r="F326" s="122">
        <f t="shared" si="9"/>
        <v>13</v>
      </c>
    </row>
    <row r="327" spans="1:10">
      <c r="A327" s="17">
        <v>9</v>
      </c>
      <c r="B327" s="95" t="s">
        <v>99</v>
      </c>
      <c r="C327" s="92" t="s">
        <v>70</v>
      </c>
      <c r="D327" s="88">
        <v>1.23</v>
      </c>
      <c r="E327" s="94">
        <v>0.28999999999999998</v>
      </c>
      <c r="F327" s="122">
        <f t="shared" si="9"/>
        <v>0.35669999999999996</v>
      </c>
    </row>
    <row r="328" spans="1:10">
      <c r="A328" s="17">
        <v>10</v>
      </c>
      <c r="B328" s="96" t="s">
        <v>106</v>
      </c>
      <c r="C328" s="92" t="s">
        <v>70</v>
      </c>
      <c r="D328" s="88">
        <v>1.23</v>
      </c>
      <c r="E328" s="94">
        <v>0.48</v>
      </c>
      <c r="F328" s="122">
        <f t="shared" si="9"/>
        <v>0.59039999999999992</v>
      </c>
    </row>
    <row r="329" spans="1:10">
      <c r="A329" s="17">
        <v>11</v>
      </c>
      <c r="B329" s="96" t="s">
        <v>107</v>
      </c>
      <c r="C329" s="92" t="s">
        <v>70</v>
      </c>
      <c r="D329" s="88">
        <v>1.23</v>
      </c>
      <c r="E329" s="94">
        <v>0.46</v>
      </c>
      <c r="F329" s="122">
        <f t="shared" si="9"/>
        <v>0.56579999999999997</v>
      </c>
    </row>
    <row r="330" spans="1:10">
      <c r="A330" s="17"/>
      <c r="B330" s="96" t="s">
        <v>626</v>
      </c>
      <c r="C330" s="92"/>
      <c r="D330" s="179">
        <v>56.52</v>
      </c>
      <c r="E330" s="94">
        <f>0.5/4</f>
        <v>0.125</v>
      </c>
      <c r="F330" s="122">
        <f t="shared" si="9"/>
        <v>7.0650000000000004</v>
      </c>
    </row>
    <row r="331" spans="1:10">
      <c r="A331" s="17"/>
      <c r="B331" s="96" t="s">
        <v>108</v>
      </c>
      <c r="C331" s="92"/>
      <c r="D331" s="180">
        <v>26.24</v>
      </c>
      <c r="E331" s="94">
        <v>7.4999999999999997E-2</v>
      </c>
      <c r="F331" s="122">
        <f t="shared" si="9"/>
        <v>1.9679999999999997</v>
      </c>
    </row>
    <row r="332" spans="1:10">
      <c r="A332" s="17"/>
      <c r="B332" s="96" t="s">
        <v>627</v>
      </c>
      <c r="C332" s="92"/>
      <c r="D332" s="180"/>
      <c r="E332" s="94">
        <v>0.15</v>
      </c>
      <c r="F332" s="122">
        <f t="shared" si="9"/>
        <v>0</v>
      </c>
      <c r="J332" s="3" t="s">
        <v>109</v>
      </c>
    </row>
    <row r="333" spans="1:10" ht="11.25" customHeight="1">
      <c r="A333" s="17">
        <v>12</v>
      </c>
      <c r="B333" s="96" t="s">
        <v>110</v>
      </c>
      <c r="C333" s="92" t="s">
        <v>111</v>
      </c>
      <c r="D333" s="104"/>
      <c r="E333" s="94">
        <v>0</v>
      </c>
      <c r="F333" s="122">
        <f t="shared" si="9"/>
        <v>0</v>
      </c>
    </row>
    <row r="334" spans="1:10" ht="11.25" customHeight="1">
      <c r="A334" s="17">
        <v>13</v>
      </c>
      <c r="B334" s="96" t="s">
        <v>112</v>
      </c>
      <c r="C334" s="92" t="s">
        <v>111</v>
      </c>
      <c r="D334" s="104"/>
      <c r="E334" s="94">
        <v>0</v>
      </c>
      <c r="F334" s="122">
        <f t="shared" si="9"/>
        <v>0</v>
      </c>
    </row>
    <row r="335" spans="1:10" ht="11.25" customHeight="1">
      <c r="A335" s="17">
        <v>14</v>
      </c>
      <c r="B335" s="96" t="s">
        <v>113</v>
      </c>
      <c r="C335" s="92" t="s">
        <v>111</v>
      </c>
      <c r="D335" s="104"/>
      <c r="E335" s="94">
        <v>0</v>
      </c>
      <c r="F335" s="122">
        <f t="shared" si="9"/>
        <v>0</v>
      </c>
    </row>
    <row r="336" spans="1:10" ht="11.25" customHeight="1">
      <c r="A336" s="17">
        <v>15</v>
      </c>
      <c r="B336" s="96" t="s">
        <v>114</v>
      </c>
      <c r="C336" s="92" t="s">
        <v>111</v>
      </c>
      <c r="D336" s="88">
        <v>1.23</v>
      </c>
      <c r="E336" s="94">
        <v>30</v>
      </c>
      <c r="F336" s="122">
        <f t="shared" si="9"/>
        <v>36.9</v>
      </c>
    </row>
    <row r="337" spans="1:7">
      <c r="A337" s="11">
        <v>16</v>
      </c>
      <c r="B337" s="54" t="s">
        <v>115</v>
      </c>
      <c r="C337" s="87" t="s">
        <v>116</v>
      </c>
      <c r="D337" s="88">
        <v>1.23</v>
      </c>
      <c r="E337" s="89">
        <v>0.4</v>
      </c>
      <c r="F337" s="122">
        <f t="shared" si="9"/>
        <v>0.49199999999999999</v>
      </c>
    </row>
    <row r="338" spans="1:7" ht="13.5" thickBot="1">
      <c r="A338" s="17"/>
      <c r="B338" s="96" t="s">
        <v>117</v>
      </c>
      <c r="C338" s="106"/>
      <c r="D338" s="144">
        <v>1.61</v>
      </c>
      <c r="E338" s="108">
        <v>10</v>
      </c>
      <c r="F338" s="109">
        <f t="shared" si="9"/>
        <v>16.100000000000001</v>
      </c>
    </row>
    <row r="339" spans="1:7" ht="12.75" customHeight="1">
      <c r="A339" s="454" t="s">
        <v>30</v>
      </c>
      <c r="B339" s="455"/>
      <c r="C339" s="110"/>
      <c r="D339" s="111"/>
      <c r="E339" s="129"/>
      <c r="F339" s="130">
        <f>SUM(F316:F338)</f>
        <v>142.74700000000001</v>
      </c>
      <c r="G339" s="114">
        <f>F312*F339</f>
        <v>0</v>
      </c>
    </row>
    <row r="340" spans="1:7" ht="13.5" customHeight="1" thickBot="1">
      <c r="A340" s="467" t="s">
        <v>31</v>
      </c>
      <c r="B340" s="468"/>
      <c r="C340" s="469"/>
      <c r="D340" s="115"/>
      <c r="E340" s="181">
        <f>E316+E317+E319+E320+E321+E322+E324+E325+E327+E328+E329+E336+E337</f>
        <v>44.300000000000004</v>
      </c>
      <c r="F340" s="178"/>
      <c r="G340" s="118" t="s">
        <v>277</v>
      </c>
    </row>
    <row r="341" spans="1:7" ht="13.5" thickBot="1"/>
    <row r="342" spans="1:7" ht="11.25" customHeight="1">
      <c r="A342" s="456" t="s">
        <v>658</v>
      </c>
      <c r="B342" s="457"/>
      <c r="C342" s="457"/>
      <c r="D342" s="457"/>
      <c r="E342" s="457"/>
      <c r="F342" s="458"/>
    </row>
    <row r="343" spans="1:7" ht="11.25" customHeight="1">
      <c r="A343" s="459"/>
      <c r="B343" s="460"/>
      <c r="C343" s="460"/>
      <c r="D343" s="460"/>
      <c r="E343" s="460"/>
      <c r="F343" s="461"/>
    </row>
    <row r="344" spans="1:7" ht="11.25" customHeight="1">
      <c r="A344" s="459"/>
      <c r="B344" s="460"/>
      <c r="C344" s="460"/>
      <c r="D344" s="460"/>
      <c r="E344" s="460"/>
      <c r="F344" s="461"/>
    </row>
    <row r="345" spans="1:7" ht="11.25" customHeight="1" thickBot="1">
      <c r="A345" s="462"/>
      <c r="B345" s="463"/>
      <c r="C345" s="463"/>
      <c r="D345" s="463"/>
      <c r="E345" s="463"/>
      <c r="F345" s="464"/>
    </row>
    <row r="346" spans="1:7" ht="13.5" thickBot="1"/>
    <row r="347" spans="1:7" ht="13.5" customHeight="1" thickBot="1">
      <c r="B347" s="2" t="s">
        <v>118</v>
      </c>
      <c r="D347" s="470" t="s">
        <v>1</v>
      </c>
      <c r="E347" s="471"/>
      <c r="F347" s="81">
        <v>0</v>
      </c>
    </row>
    <row r="348" spans="1:7" ht="13.5" thickBot="1"/>
    <row r="349" spans="1:7" ht="11.25" customHeight="1">
      <c r="A349" s="472" t="s">
        <v>276</v>
      </c>
      <c r="B349" s="473"/>
      <c r="C349" s="473"/>
      <c r="D349" s="473"/>
      <c r="E349" s="465" t="s">
        <v>2</v>
      </c>
      <c r="F349" s="466"/>
    </row>
    <row r="350" spans="1:7" ht="51.75" thickBot="1">
      <c r="A350" s="372" t="s">
        <v>716</v>
      </c>
      <c r="B350" s="84" t="s">
        <v>3</v>
      </c>
      <c r="C350" s="84" t="s">
        <v>4</v>
      </c>
      <c r="D350" s="84" t="s">
        <v>5</v>
      </c>
      <c r="E350" s="85" t="s">
        <v>6</v>
      </c>
      <c r="F350" s="86" t="s">
        <v>7</v>
      </c>
    </row>
    <row r="351" spans="1:7" ht="13.5" thickTop="1">
      <c r="A351" s="11">
        <v>1</v>
      </c>
      <c r="B351" s="54" t="s">
        <v>8</v>
      </c>
      <c r="C351" s="87" t="s">
        <v>9</v>
      </c>
      <c r="D351" s="88">
        <v>1.23</v>
      </c>
      <c r="E351" s="89">
        <v>1.2</v>
      </c>
      <c r="F351" s="90">
        <f>E351*D351</f>
        <v>1.476</v>
      </c>
    </row>
    <row r="352" spans="1:7">
      <c r="A352" s="17"/>
      <c r="B352" s="91" t="s">
        <v>10</v>
      </c>
      <c r="C352" s="92"/>
      <c r="D352" s="93">
        <v>0.35</v>
      </c>
      <c r="E352" s="94">
        <v>300</v>
      </c>
      <c r="F352" s="122">
        <f>E352*D352</f>
        <v>105</v>
      </c>
    </row>
    <row r="353" spans="1:6">
      <c r="A353" s="17">
        <v>2</v>
      </c>
      <c r="B353" s="95" t="s">
        <v>11</v>
      </c>
      <c r="C353" s="92" t="s">
        <v>9</v>
      </c>
      <c r="D353" s="88">
        <v>1.23</v>
      </c>
      <c r="E353" s="94">
        <v>1.1599999999999999</v>
      </c>
      <c r="F353" s="122">
        <f t="shared" ref="F353:F372" si="10">E353*D353</f>
        <v>1.4267999999999998</v>
      </c>
    </row>
    <row r="354" spans="1:6">
      <c r="A354" s="17">
        <v>3</v>
      </c>
      <c r="B354" s="96" t="s">
        <v>12</v>
      </c>
      <c r="C354" s="92" t="s">
        <v>9</v>
      </c>
      <c r="D354" s="88">
        <v>1.23</v>
      </c>
      <c r="E354" s="94">
        <v>20.28</v>
      </c>
      <c r="F354" s="122">
        <f t="shared" si="10"/>
        <v>24.944400000000002</v>
      </c>
    </row>
    <row r="355" spans="1:6">
      <c r="A355" s="17">
        <v>4</v>
      </c>
      <c r="B355" s="91" t="s">
        <v>13</v>
      </c>
      <c r="C355" s="92" t="s">
        <v>9</v>
      </c>
      <c r="D355" s="88">
        <v>1.23</v>
      </c>
      <c r="E355" s="94">
        <v>3.78</v>
      </c>
      <c r="F355" s="122">
        <f t="shared" si="10"/>
        <v>4.6494</v>
      </c>
    </row>
    <row r="356" spans="1:6">
      <c r="A356" s="17">
        <v>5</v>
      </c>
      <c r="B356" s="91" t="s">
        <v>14</v>
      </c>
      <c r="C356" s="92" t="s">
        <v>9</v>
      </c>
      <c r="D356" s="88">
        <v>1.23</v>
      </c>
      <c r="E356" s="94">
        <v>2.2799999999999998</v>
      </c>
      <c r="F356" s="122">
        <f t="shared" si="10"/>
        <v>2.8043999999999998</v>
      </c>
    </row>
    <row r="357" spans="1:6">
      <c r="A357" s="17">
        <v>6</v>
      </c>
      <c r="B357" s="91" t="s">
        <v>15</v>
      </c>
      <c r="C357" s="92" t="s">
        <v>9</v>
      </c>
      <c r="D357" s="88">
        <v>1.23</v>
      </c>
      <c r="E357" s="94">
        <v>0.96</v>
      </c>
      <c r="F357" s="122">
        <f t="shared" si="10"/>
        <v>1.1807999999999998</v>
      </c>
    </row>
    <row r="358" spans="1:6">
      <c r="A358" s="17"/>
      <c r="B358" s="91" t="s">
        <v>16</v>
      </c>
      <c r="C358" s="92"/>
      <c r="D358" s="182">
        <v>0.34</v>
      </c>
      <c r="E358" s="94">
        <v>200</v>
      </c>
      <c r="F358" s="122">
        <f t="shared" si="10"/>
        <v>68</v>
      </c>
    </row>
    <row r="359" spans="1:6">
      <c r="A359" s="17">
        <v>7</v>
      </c>
      <c r="B359" s="91" t="s">
        <v>17</v>
      </c>
      <c r="C359" s="92" t="s">
        <v>9</v>
      </c>
      <c r="D359" s="88">
        <v>1.23</v>
      </c>
      <c r="E359" s="94">
        <v>3.36</v>
      </c>
      <c r="F359" s="122">
        <f t="shared" si="10"/>
        <v>4.1327999999999996</v>
      </c>
    </row>
    <row r="360" spans="1:6">
      <c r="A360" s="17">
        <v>8</v>
      </c>
      <c r="B360" s="54" t="s">
        <v>8</v>
      </c>
      <c r="C360" s="92" t="s">
        <v>18</v>
      </c>
      <c r="D360" s="88">
        <v>1.23</v>
      </c>
      <c r="E360" s="94">
        <v>0.84</v>
      </c>
      <c r="F360" s="122">
        <f t="shared" si="10"/>
        <v>1.0331999999999999</v>
      </c>
    </row>
    <row r="361" spans="1:6">
      <c r="A361" s="17"/>
      <c r="B361" s="91" t="s">
        <v>19</v>
      </c>
      <c r="C361" s="92"/>
      <c r="D361" s="97">
        <v>0.26</v>
      </c>
      <c r="E361" s="94">
        <v>200</v>
      </c>
      <c r="F361" s="122">
        <f t="shared" si="10"/>
        <v>52</v>
      </c>
    </row>
    <row r="362" spans="1:6">
      <c r="A362" s="17">
        <v>9</v>
      </c>
      <c r="B362" s="95" t="s">
        <v>11</v>
      </c>
      <c r="C362" s="92" t="s">
        <v>18</v>
      </c>
      <c r="D362" s="88">
        <v>1.23</v>
      </c>
      <c r="E362" s="94">
        <v>1.1599999999999999</v>
      </c>
      <c r="F362" s="122">
        <f t="shared" si="10"/>
        <v>1.4267999999999998</v>
      </c>
    </row>
    <row r="363" spans="1:6">
      <c r="A363" s="17">
        <v>10</v>
      </c>
      <c r="B363" s="96" t="s">
        <v>47</v>
      </c>
      <c r="C363" s="92" t="s">
        <v>21</v>
      </c>
      <c r="D363" s="88">
        <v>1.23</v>
      </c>
      <c r="E363" s="94">
        <f>0.96*2</f>
        <v>1.92</v>
      </c>
      <c r="F363" s="122">
        <f t="shared" si="10"/>
        <v>2.3615999999999997</v>
      </c>
    </row>
    <row r="364" spans="1:6">
      <c r="A364" s="17">
        <v>11</v>
      </c>
      <c r="B364" s="96" t="s">
        <v>48</v>
      </c>
      <c r="C364" s="92" t="s">
        <v>21</v>
      </c>
      <c r="D364" s="88">
        <v>1.23</v>
      </c>
      <c r="E364" s="94">
        <f>0.92*2</f>
        <v>1.84</v>
      </c>
      <c r="F364" s="122">
        <f t="shared" si="10"/>
        <v>2.2631999999999999</v>
      </c>
    </row>
    <row r="365" spans="1:6">
      <c r="A365" s="17"/>
      <c r="B365" s="96" t="s">
        <v>23</v>
      </c>
      <c r="C365" s="92"/>
      <c r="D365" s="98"/>
      <c r="E365" s="94">
        <v>0.01</v>
      </c>
      <c r="F365" s="122">
        <f t="shared" si="10"/>
        <v>0</v>
      </c>
    </row>
    <row r="366" spans="1:6">
      <c r="A366" s="17"/>
      <c r="B366" s="96" t="s">
        <v>616</v>
      </c>
      <c r="C366" s="92"/>
      <c r="D366" s="182">
        <v>94.28</v>
      </c>
      <c r="E366" s="94">
        <v>0.15</v>
      </c>
      <c r="F366" s="90">
        <f t="shared" si="10"/>
        <v>14.141999999999999</v>
      </c>
    </row>
    <row r="367" spans="1:6">
      <c r="A367" s="17"/>
      <c r="B367" s="96" t="s">
        <v>608</v>
      </c>
      <c r="C367" s="92"/>
      <c r="D367" s="97"/>
      <c r="E367" s="94">
        <v>0</v>
      </c>
      <c r="F367" s="122">
        <f t="shared" si="10"/>
        <v>0</v>
      </c>
    </row>
    <row r="368" spans="1:6" s="43" customFormat="1">
      <c r="A368" s="100"/>
      <c r="B368" s="95" t="s">
        <v>617</v>
      </c>
      <c r="C368" s="101"/>
      <c r="D368" s="99">
        <v>41.26</v>
      </c>
      <c r="E368" s="102">
        <v>0.6</v>
      </c>
      <c r="F368" s="103">
        <f t="shared" si="10"/>
        <v>24.755999999999997</v>
      </c>
    </row>
    <row r="369" spans="1:7">
      <c r="A369" s="17">
        <v>12</v>
      </c>
      <c r="B369" s="96" t="s">
        <v>25</v>
      </c>
      <c r="C369" s="92" t="s">
        <v>26</v>
      </c>
      <c r="D369" s="104"/>
      <c r="E369" s="94">
        <v>0</v>
      </c>
      <c r="F369" s="122">
        <f t="shared" si="10"/>
        <v>0</v>
      </c>
    </row>
    <row r="370" spans="1:7">
      <c r="A370" s="17">
        <v>13</v>
      </c>
      <c r="B370" s="96" t="s">
        <v>119</v>
      </c>
      <c r="C370" s="92" t="s">
        <v>26</v>
      </c>
      <c r="D370" s="88">
        <v>1.23</v>
      </c>
      <c r="E370" s="94">
        <v>8</v>
      </c>
      <c r="F370" s="122">
        <f t="shared" si="10"/>
        <v>9.84</v>
      </c>
    </row>
    <row r="371" spans="1:7">
      <c r="A371" s="17">
        <v>14</v>
      </c>
      <c r="B371" s="96" t="s">
        <v>28</v>
      </c>
      <c r="C371" s="92" t="s">
        <v>26</v>
      </c>
      <c r="D371" s="88"/>
      <c r="E371" s="94">
        <v>0</v>
      </c>
      <c r="F371" s="122">
        <f t="shared" si="10"/>
        <v>0</v>
      </c>
    </row>
    <row r="372" spans="1:7" ht="13.5" thickBot="1">
      <c r="A372" s="30">
        <v>15</v>
      </c>
      <c r="B372" s="105" t="s">
        <v>29</v>
      </c>
      <c r="C372" s="106" t="s">
        <v>26</v>
      </c>
      <c r="D372" s="208">
        <v>1.23</v>
      </c>
      <c r="E372" s="108">
        <v>18</v>
      </c>
      <c r="F372" s="109">
        <f t="shared" si="10"/>
        <v>22.14</v>
      </c>
    </row>
    <row r="373" spans="1:7" ht="12.75" customHeight="1">
      <c r="A373" s="454" t="s">
        <v>30</v>
      </c>
      <c r="B373" s="455"/>
      <c r="C373" s="110"/>
      <c r="D373" s="111"/>
      <c r="E373" s="129"/>
      <c r="F373" s="177">
        <f>SUM(F351:F372)</f>
        <v>343.5773999999999</v>
      </c>
      <c r="G373" s="114">
        <f>F347*F373</f>
        <v>0</v>
      </c>
    </row>
    <row r="374" spans="1:7" ht="13.5" customHeight="1" thickBot="1">
      <c r="A374" s="467" t="s">
        <v>31</v>
      </c>
      <c r="B374" s="468"/>
      <c r="C374" s="469"/>
      <c r="D374" s="115"/>
      <c r="E374" s="116">
        <f>E351+E353+E354+E355+E356+E357+E359+E360+E362+E363+E364+E370+E371+E372</f>
        <v>64.78</v>
      </c>
      <c r="F374" s="178"/>
      <c r="G374" s="118" t="s">
        <v>277</v>
      </c>
    </row>
    <row r="375" spans="1:7" ht="13.5" thickBot="1"/>
    <row r="376" spans="1:7" ht="11.25" customHeight="1">
      <c r="A376" s="456" t="s">
        <v>659</v>
      </c>
      <c r="B376" s="457"/>
      <c r="C376" s="457"/>
      <c r="D376" s="457"/>
      <c r="E376" s="457"/>
      <c r="F376" s="458"/>
    </row>
    <row r="377" spans="1:7" ht="11.25" customHeight="1">
      <c r="A377" s="459"/>
      <c r="B377" s="460"/>
      <c r="C377" s="460"/>
      <c r="D377" s="460"/>
      <c r="E377" s="460"/>
      <c r="F377" s="461"/>
    </row>
    <row r="378" spans="1:7" ht="11.25" customHeight="1" thickBot="1">
      <c r="A378" s="462"/>
      <c r="B378" s="463"/>
      <c r="C378" s="463"/>
      <c r="D378" s="463"/>
      <c r="E378" s="463"/>
      <c r="F378" s="464"/>
    </row>
    <row r="379" spans="1:7" ht="13.5" thickBot="1"/>
    <row r="380" spans="1:7" ht="13.5" customHeight="1" thickBot="1">
      <c r="B380" s="2" t="s">
        <v>120</v>
      </c>
      <c r="D380" s="470" t="s">
        <v>1</v>
      </c>
      <c r="E380" s="471"/>
      <c r="F380" s="81">
        <v>0</v>
      </c>
    </row>
    <row r="381" spans="1:7" ht="13.5" thickBot="1"/>
    <row r="382" spans="1:7" ht="11.25" customHeight="1">
      <c r="A382" s="472" t="s">
        <v>276</v>
      </c>
      <c r="B382" s="473"/>
      <c r="C382" s="473"/>
      <c r="D382" s="473"/>
      <c r="E382" s="465" t="s">
        <v>2</v>
      </c>
      <c r="F382" s="466"/>
    </row>
    <row r="383" spans="1:7" ht="51.75" thickBot="1">
      <c r="A383" s="372" t="s">
        <v>716</v>
      </c>
      <c r="B383" s="84" t="s">
        <v>3</v>
      </c>
      <c r="C383" s="84" t="s">
        <v>4</v>
      </c>
      <c r="D383" s="84" t="s">
        <v>5</v>
      </c>
      <c r="E383" s="85" t="s">
        <v>6</v>
      </c>
      <c r="F383" s="86" t="s">
        <v>7</v>
      </c>
    </row>
    <row r="384" spans="1:7" ht="13.5" thickTop="1">
      <c r="A384" s="11">
        <v>1</v>
      </c>
      <c r="B384" s="54" t="s">
        <v>8</v>
      </c>
      <c r="C384" s="87" t="s">
        <v>9</v>
      </c>
      <c r="D384" s="88">
        <v>1.23</v>
      </c>
      <c r="E384" s="89">
        <v>1.2</v>
      </c>
      <c r="F384" s="90">
        <f>E384*D384</f>
        <v>1.476</v>
      </c>
    </row>
    <row r="385" spans="1:6">
      <c r="A385" s="17"/>
      <c r="B385" s="91" t="s">
        <v>10</v>
      </c>
      <c r="C385" s="92"/>
      <c r="D385" s="93">
        <v>0.35</v>
      </c>
      <c r="E385" s="94">
        <v>300</v>
      </c>
      <c r="F385" s="122">
        <f>E385*D385</f>
        <v>105</v>
      </c>
    </row>
    <row r="386" spans="1:6">
      <c r="A386" s="17">
        <v>2</v>
      </c>
      <c r="B386" s="95" t="s">
        <v>11</v>
      </c>
      <c r="C386" s="92" t="s">
        <v>9</v>
      </c>
      <c r="D386" s="88">
        <v>1.23</v>
      </c>
      <c r="E386" s="94">
        <v>1.1599999999999999</v>
      </c>
      <c r="F386" s="122">
        <f t="shared" ref="F386:F405" si="11">E386*D386</f>
        <v>1.4267999999999998</v>
      </c>
    </row>
    <row r="387" spans="1:6">
      <c r="A387" s="17">
        <v>3</v>
      </c>
      <c r="B387" s="96" t="s">
        <v>12</v>
      </c>
      <c r="C387" s="92" t="s">
        <v>9</v>
      </c>
      <c r="D387" s="88">
        <v>1.23</v>
      </c>
      <c r="E387" s="94">
        <v>20.28</v>
      </c>
      <c r="F387" s="122">
        <f t="shared" si="11"/>
        <v>24.944400000000002</v>
      </c>
    </row>
    <row r="388" spans="1:6">
      <c r="A388" s="17">
        <v>4</v>
      </c>
      <c r="B388" s="91" t="s">
        <v>13</v>
      </c>
      <c r="C388" s="92" t="s">
        <v>9</v>
      </c>
      <c r="D388" s="88">
        <v>1.23</v>
      </c>
      <c r="E388" s="94">
        <v>3.78</v>
      </c>
      <c r="F388" s="122">
        <f t="shared" si="11"/>
        <v>4.6494</v>
      </c>
    </row>
    <row r="389" spans="1:6">
      <c r="A389" s="17">
        <v>5</v>
      </c>
      <c r="B389" s="91" t="s">
        <v>14</v>
      </c>
      <c r="C389" s="92" t="s">
        <v>9</v>
      </c>
      <c r="D389" s="88">
        <v>1.23</v>
      </c>
      <c r="E389" s="94">
        <v>2.2799999999999998</v>
      </c>
      <c r="F389" s="122">
        <f t="shared" si="11"/>
        <v>2.8043999999999998</v>
      </c>
    </row>
    <row r="390" spans="1:6">
      <c r="A390" s="17">
        <v>6</v>
      </c>
      <c r="B390" s="91" t="s">
        <v>15</v>
      </c>
      <c r="C390" s="92" t="s">
        <v>9</v>
      </c>
      <c r="D390" s="88">
        <v>1.23</v>
      </c>
      <c r="E390" s="94">
        <v>0.96</v>
      </c>
      <c r="F390" s="122">
        <f t="shared" si="11"/>
        <v>1.1807999999999998</v>
      </c>
    </row>
    <row r="391" spans="1:6">
      <c r="A391" s="17"/>
      <c r="B391" s="91" t="s">
        <v>16</v>
      </c>
      <c r="C391" s="92"/>
      <c r="D391" s="182">
        <v>0.34</v>
      </c>
      <c r="E391" s="94">
        <v>200</v>
      </c>
      <c r="F391" s="122">
        <f t="shared" si="11"/>
        <v>68</v>
      </c>
    </row>
    <row r="392" spans="1:6">
      <c r="A392" s="17">
        <v>7</v>
      </c>
      <c r="B392" s="91" t="s">
        <v>17</v>
      </c>
      <c r="C392" s="92" t="s">
        <v>9</v>
      </c>
      <c r="D392" s="88">
        <v>1.23</v>
      </c>
      <c r="E392" s="94">
        <v>3.36</v>
      </c>
      <c r="F392" s="122">
        <f t="shared" si="11"/>
        <v>4.1327999999999996</v>
      </c>
    </row>
    <row r="393" spans="1:6">
      <c r="A393" s="17">
        <v>8</v>
      </c>
      <c r="B393" s="54" t="s">
        <v>8</v>
      </c>
      <c r="C393" s="92" t="s">
        <v>18</v>
      </c>
      <c r="D393" s="88">
        <v>1.23</v>
      </c>
      <c r="E393" s="94">
        <v>0.84</v>
      </c>
      <c r="F393" s="122">
        <f t="shared" si="11"/>
        <v>1.0331999999999999</v>
      </c>
    </row>
    <row r="394" spans="1:6">
      <c r="A394" s="17"/>
      <c r="B394" s="91" t="s">
        <v>19</v>
      </c>
      <c r="C394" s="92"/>
      <c r="D394" s="97">
        <v>0.26</v>
      </c>
      <c r="E394" s="94">
        <v>200</v>
      </c>
      <c r="F394" s="122">
        <f t="shared" si="11"/>
        <v>52</v>
      </c>
    </row>
    <row r="395" spans="1:6">
      <c r="A395" s="17">
        <v>9</v>
      </c>
      <c r="B395" s="95" t="s">
        <v>11</v>
      </c>
      <c r="C395" s="92" t="s">
        <v>18</v>
      </c>
      <c r="D395" s="88">
        <v>1.23</v>
      </c>
      <c r="E395" s="94">
        <v>1.1599999999999999</v>
      </c>
      <c r="F395" s="122">
        <f t="shared" si="11"/>
        <v>1.4267999999999998</v>
      </c>
    </row>
    <row r="396" spans="1:6">
      <c r="A396" s="17">
        <v>10</v>
      </c>
      <c r="B396" s="96" t="s">
        <v>47</v>
      </c>
      <c r="C396" s="92" t="s">
        <v>21</v>
      </c>
      <c r="D396" s="88">
        <v>1.23</v>
      </c>
      <c r="E396" s="94">
        <f>0.96*2</f>
        <v>1.92</v>
      </c>
      <c r="F396" s="122">
        <f t="shared" si="11"/>
        <v>2.3615999999999997</v>
      </c>
    </row>
    <row r="397" spans="1:6">
      <c r="A397" s="17">
        <v>11</v>
      </c>
      <c r="B397" s="96" t="s">
        <v>48</v>
      </c>
      <c r="C397" s="92" t="s">
        <v>21</v>
      </c>
      <c r="D397" s="88">
        <v>1.23</v>
      </c>
      <c r="E397" s="94">
        <f>0.92*2</f>
        <v>1.84</v>
      </c>
      <c r="F397" s="122">
        <f t="shared" si="11"/>
        <v>2.2631999999999999</v>
      </c>
    </row>
    <row r="398" spans="1:6">
      <c r="A398" s="17"/>
      <c r="B398" s="96" t="s">
        <v>23</v>
      </c>
      <c r="C398" s="92"/>
      <c r="D398" s="98"/>
      <c r="E398" s="94">
        <v>0.01</v>
      </c>
      <c r="F398" s="122">
        <f t="shared" si="11"/>
        <v>0</v>
      </c>
    </row>
    <row r="399" spans="1:6">
      <c r="A399" s="17"/>
      <c r="B399" s="96" t="s">
        <v>616</v>
      </c>
      <c r="C399" s="92"/>
      <c r="D399" s="182">
        <v>94.28</v>
      </c>
      <c r="E399" s="94">
        <v>0.15</v>
      </c>
      <c r="F399" s="90">
        <f t="shared" si="11"/>
        <v>14.141999999999999</v>
      </c>
    </row>
    <row r="400" spans="1:6">
      <c r="A400" s="17"/>
      <c r="B400" s="96" t="s">
        <v>608</v>
      </c>
      <c r="C400" s="92"/>
      <c r="D400" s="97"/>
      <c r="E400" s="94">
        <v>0</v>
      </c>
      <c r="F400" s="122">
        <f t="shared" si="11"/>
        <v>0</v>
      </c>
    </row>
    <row r="401" spans="1:7" s="43" customFormat="1">
      <c r="A401" s="100"/>
      <c r="B401" s="95" t="s">
        <v>617</v>
      </c>
      <c r="C401" s="101"/>
      <c r="D401" s="99">
        <v>41.26</v>
      </c>
      <c r="E401" s="102">
        <v>0.6</v>
      </c>
      <c r="F401" s="103">
        <f t="shared" si="11"/>
        <v>24.755999999999997</v>
      </c>
    </row>
    <row r="402" spans="1:7">
      <c r="A402" s="17">
        <v>12</v>
      </c>
      <c r="B402" s="96" t="s">
        <v>25</v>
      </c>
      <c r="C402" s="92" t="s">
        <v>26</v>
      </c>
      <c r="D402" s="104"/>
      <c r="E402" s="94">
        <v>0</v>
      </c>
      <c r="F402" s="122">
        <f t="shared" si="11"/>
        <v>0</v>
      </c>
    </row>
    <row r="403" spans="1:7">
      <c r="A403" s="17">
        <v>13</v>
      </c>
      <c r="B403" s="96" t="s">
        <v>121</v>
      </c>
      <c r="C403" s="92" t="s">
        <v>26</v>
      </c>
      <c r="D403" s="88">
        <v>1.23</v>
      </c>
      <c r="E403" s="94">
        <v>8</v>
      </c>
      <c r="F403" s="122">
        <f t="shared" si="11"/>
        <v>9.84</v>
      </c>
    </row>
    <row r="404" spans="1:7">
      <c r="A404" s="17">
        <v>14</v>
      </c>
      <c r="B404" s="96" t="s">
        <v>28</v>
      </c>
      <c r="C404" s="92" t="s">
        <v>26</v>
      </c>
      <c r="D404" s="88"/>
      <c r="E404" s="94">
        <v>0</v>
      </c>
      <c r="F404" s="122">
        <f t="shared" si="11"/>
        <v>0</v>
      </c>
    </row>
    <row r="405" spans="1:7" ht="13.5" thickBot="1">
      <c r="A405" s="30">
        <v>15</v>
      </c>
      <c r="B405" s="105" t="s">
        <v>29</v>
      </c>
      <c r="C405" s="106" t="s">
        <v>26</v>
      </c>
      <c r="D405" s="208">
        <v>1.23</v>
      </c>
      <c r="E405" s="108">
        <v>18</v>
      </c>
      <c r="F405" s="109">
        <f t="shared" si="11"/>
        <v>22.14</v>
      </c>
    </row>
    <row r="406" spans="1:7" ht="12.75" customHeight="1">
      <c r="A406" s="454" t="s">
        <v>30</v>
      </c>
      <c r="B406" s="455"/>
      <c r="C406" s="110"/>
      <c r="D406" s="111"/>
      <c r="E406" s="129"/>
      <c r="F406" s="177">
        <f>SUM(F384:F405)</f>
        <v>343.5773999999999</v>
      </c>
      <c r="G406" s="114">
        <f>F380*F406</f>
        <v>0</v>
      </c>
    </row>
    <row r="407" spans="1:7" ht="13.5" customHeight="1" thickBot="1">
      <c r="A407" s="467" t="s">
        <v>31</v>
      </c>
      <c r="B407" s="468"/>
      <c r="C407" s="469"/>
      <c r="D407" s="115"/>
      <c r="E407" s="116">
        <f>E384+E386+E387+E388+E389+E390+E392+E393+E395+E396+E397+E403+E404+E405</f>
        <v>64.78</v>
      </c>
      <c r="F407" s="178"/>
      <c r="G407" s="118" t="s">
        <v>277</v>
      </c>
    </row>
    <row r="408" spans="1:7" ht="13.5" thickBot="1"/>
    <row r="409" spans="1:7" ht="11.25" customHeight="1">
      <c r="A409" s="456" t="s">
        <v>660</v>
      </c>
      <c r="B409" s="457"/>
      <c r="C409" s="457"/>
      <c r="D409" s="457"/>
      <c r="E409" s="457"/>
      <c r="F409" s="458"/>
    </row>
    <row r="410" spans="1:7" ht="11.25" customHeight="1">
      <c r="A410" s="459"/>
      <c r="B410" s="460"/>
      <c r="C410" s="460"/>
      <c r="D410" s="460"/>
      <c r="E410" s="460"/>
      <c r="F410" s="461"/>
    </row>
    <row r="411" spans="1:7" ht="11.25" customHeight="1" thickBot="1">
      <c r="A411" s="462"/>
      <c r="B411" s="463"/>
      <c r="C411" s="463"/>
      <c r="D411" s="463"/>
      <c r="E411" s="463"/>
      <c r="F411" s="464"/>
    </row>
    <row r="412" spans="1:7" ht="13.5" thickBot="1"/>
    <row r="413" spans="1:7" ht="12.75" customHeight="1" thickBot="1">
      <c r="B413" s="2" t="s">
        <v>122</v>
      </c>
      <c r="D413" s="470" t="s">
        <v>1</v>
      </c>
      <c r="E413" s="471"/>
      <c r="F413" s="81">
        <v>0</v>
      </c>
    </row>
    <row r="414" spans="1:7" ht="13.5" thickBot="1"/>
    <row r="415" spans="1:7" ht="11.25" customHeight="1">
      <c r="A415" s="472" t="s">
        <v>276</v>
      </c>
      <c r="B415" s="473"/>
      <c r="C415" s="473"/>
      <c r="D415" s="473"/>
      <c r="E415" s="465" t="s">
        <v>2</v>
      </c>
      <c r="F415" s="466"/>
    </row>
    <row r="416" spans="1:7" ht="51.75" thickBot="1">
      <c r="A416" s="372" t="s">
        <v>716</v>
      </c>
      <c r="B416" s="84" t="s">
        <v>3</v>
      </c>
      <c r="C416" s="84" t="s">
        <v>4</v>
      </c>
      <c r="D416" s="84" t="s">
        <v>5</v>
      </c>
      <c r="E416" s="85" t="s">
        <v>6</v>
      </c>
      <c r="F416" s="86" t="s">
        <v>7</v>
      </c>
    </row>
    <row r="417" spans="1:6" ht="13.5" thickTop="1">
      <c r="A417" s="119">
        <v>1</v>
      </c>
      <c r="B417" s="54" t="s">
        <v>8</v>
      </c>
      <c r="C417" s="120" t="s">
        <v>34</v>
      </c>
      <c r="D417" s="88">
        <v>1.23</v>
      </c>
      <c r="E417" s="89">
        <v>1.2</v>
      </c>
      <c r="F417" s="128">
        <f>E417*D417</f>
        <v>1.476</v>
      </c>
    </row>
    <row r="418" spans="1:6">
      <c r="A418" s="17"/>
      <c r="B418" s="91" t="s">
        <v>10</v>
      </c>
      <c r="C418" s="92"/>
      <c r="D418" s="93">
        <v>0.35</v>
      </c>
      <c r="E418" s="94">
        <v>300</v>
      </c>
      <c r="F418" s="122">
        <f>E418*D418</f>
        <v>105</v>
      </c>
    </row>
    <row r="419" spans="1:6">
      <c r="A419" s="17">
        <v>2</v>
      </c>
      <c r="B419" s="95" t="s">
        <v>11</v>
      </c>
      <c r="C419" s="92" t="s">
        <v>34</v>
      </c>
      <c r="D419" s="88">
        <v>1.23</v>
      </c>
      <c r="E419" s="94">
        <v>1.1599999999999999</v>
      </c>
      <c r="F419" s="122">
        <f t="shared" ref="F419:F433" si="12">E419*D419</f>
        <v>1.4267999999999998</v>
      </c>
    </row>
    <row r="420" spans="1:6">
      <c r="A420" s="17">
        <v>3</v>
      </c>
      <c r="B420" s="96" t="s">
        <v>12</v>
      </c>
      <c r="C420" s="92" t="s">
        <v>34</v>
      </c>
      <c r="D420" s="88">
        <v>1.23</v>
      </c>
      <c r="E420" s="94">
        <v>20.28</v>
      </c>
      <c r="F420" s="122">
        <f t="shared" si="12"/>
        <v>24.944400000000002</v>
      </c>
    </row>
    <row r="421" spans="1:6">
      <c r="A421" s="17">
        <v>4</v>
      </c>
      <c r="B421" s="91" t="s">
        <v>13</v>
      </c>
      <c r="C421" s="92" t="s">
        <v>96</v>
      </c>
      <c r="D421" s="88">
        <v>1.23</v>
      </c>
      <c r="E421" s="94">
        <v>3.78</v>
      </c>
      <c r="F421" s="122">
        <f t="shared" si="12"/>
        <v>4.6494</v>
      </c>
    </row>
    <row r="422" spans="1:6">
      <c r="A422" s="17">
        <v>5</v>
      </c>
      <c r="B422" s="91" t="s">
        <v>14</v>
      </c>
      <c r="C422" s="92" t="s">
        <v>96</v>
      </c>
      <c r="D422" s="88">
        <v>1.23</v>
      </c>
      <c r="E422" s="94">
        <v>2.2799999999999998</v>
      </c>
      <c r="F422" s="122">
        <f t="shared" si="12"/>
        <v>2.8043999999999998</v>
      </c>
    </row>
    <row r="423" spans="1:6">
      <c r="A423" s="17"/>
      <c r="B423" s="91" t="s">
        <v>16</v>
      </c>
      <c r="C423" s="92"/>
      <c r="D423" s="99">
        <v>8.5299999999999994</v>
      </c>
      <c r="E423" s="102">
        <v>5</v>
      </c>
      <c r="F423" s="122">
        <f t="shared" si="12"/>
        <v>42.65</v>
      </c>
    </row>
    <row r="424" spans="1:6">
      <c r="A424" s="17">
        <v>6</v>
      </c>
      <c r="B424" s="91" t="s">
        <v>17</v>
      </c>
      <c r="C424" s="92" t="s">
        <v>96</v>
      </c>
      <c r="D424" s="88">
        <v>1.23</v>
      </c>
      <c r="E424" s="94">
        <v>3.36</v>
      </c>
      <c r="F424" s="122">
        <f t="shared" si="12"/>
        <v>4.1327999999999996</v>
      </c>
    </row>
    <row r="425" spans="1:6">
      <c r="A425" s="17">
        <v>7</v>
      </c>
      <c r="B425" s="54" t="s">
        <v>47</v>
      </c>
      <c r="C425" s="92" t="s">
        <v>123</v>
      </c>
      <c r="D425" s="88">
        <v>1.23</v>
      </c>
      <c r="E425" s="94">
        <f>0.96*2</f>
        <v>1.92</v>
      </c>
      <c r="F425" s="122">
        <f t="shared" si="12"/>
        <v>2.3615999999999997</v>
      </c>
    </row>
    <row r="426" spans="1:6">
      <c r="A426" s="17">
        <v>8</v>
      </c>
      <c r="B426" s="96" t="s">
        <v>48</v>
      </c>
      <c r="C426" s="92" t="s">
        <v>123</v>
      </c>
      <c r="D426" s="88">
        <v>1.23</v>
      </c>
      <c r="E426" s="94">
        <f>0.92*2</f>
        <v>1.84</v>
      </c>
      <c r="F426" s="122">
        <f t="shared" si="12"/>
        <v>2.2631999999999999</v>
      </c>
    </row>
    <row r="427" spans="1:6">
      <c r="A427" s="17"/>
      <c r="B427" s="96" t="s">
        <v>628</v>
      </c>
      <c r="C427" s="92" t="s">
        <v>34</v>
      </c>
      <c r="D427" s="174">
        <v>7.02</v>
      </c>
      <c r="E427" s="94">
        <v>2</v>
      </c>
      <c r="F427" s="122">
        <f t="shared" si="12"/>
        <v>14.04</v>
      </c>
    </row>
    <row r="428" spans="1:6">
      <c r="A428" s="17"/>
      <c r="B428" s="96" t="s">
        <v>629</v>
      </c>
      <c r="C428" s="92" t="s">
        <v>9</v>
      </c>
      <c r="D428" s="97">
        <v>26.24</v>
      </c>
      <c r="E428" s="102">
        <v>0.3</v>
      </c>
      <c r="F428" s="122">
        <f t="shared" si="12"/>
        <v>7.871999999999999</v>
      </c>
    </row>
    <row r="429" spans="1:6">
      <c r="A429" s="17">
        <v>9</v>
      </c>
      <c r="B429" s="96" t="s">
        <v>8</v>
      </c>
      <c r="C429" s="92" t="s">
        <v>18</v>
      </c>
      <c r="D429" s="88">
        <v>1.23</v>
      </c>
      <c r="E429" s="94">
        <v>0.84</v>
      </c>
      <c r="F429" s="122">
        <f t="shared" si="12"/>
        <v>1.0331999999999999</v>
      </c>
    </row>
    <row r="430" spans="1:6">
      <c r="A430" s="17"/>
      <c r="B430" s="91" t="s">
        <v>19</v>
      </c>
      <c r="C430" s="92"/>
      <c r="D430" s="97">
        <v>0.26</v>
      </c>
      <c r="E430" s="94">
        <v>200</v>
      </c>
      <c r="F430" s="122">
        <f t="shared" si="12"/>
        <v>52</v>
      </c>
    </row>
    <row r="431" spans="1:6">
      <c r="A431" s="17">
        <v>10</v>
      </c>
      <c r="B431" s="95" t="s">
        <v>11</v>
      </c>
      <c r="C431" s="92" t="s">
        <v>18</v>
      </c>
      <c r="D431" s="88">
        <v>1.23</v>
      </c>
      <c r="E431" s="94">
        <v>1.1599999999999999</v>
      </c>
      <c r="F431" s="122">
        <f t="shared" si="12"/>
        <v>1.4267999999999998</v>
      </c>
    </row>
    <row r="432" spans="1:6">
      <c r="A432" s="17">
        <v>11</v>
      </c>
      <c r="B432" s="96" t="s">
        <v>25</v>
      </c>
      <c r="C432" s="92" t="s">
        <v>125</v>
      </c>
      <c r="D432" s="104"/>
      <c r="E432" s="94">
        <v>0</v>
      </c>
      <c r="F432" s="122">
        <f t="shared" si="12"/>
        <v>0</v>
      </c>
    </row>
    <row r="433" spans="1:7" ht="13.5" thickBot="1">
      <c r="A433" s="17">
        <v>12</v>
      </c>
      <c r="B433" s="105" t="s">
        <v>126</v>
      </c>
      <c r="C433" s="106" t="s">
        <v>125</v>
      </c>
      <c r="D433" s="208">
        <v>1.23</v>
      </c>
      <c r="E433" s="183">
        <v>8</v>
      </c>
      <c r="F433" s="109">
        <f t="shared" si="12"/>
        <v>9.84</v>
      </c>
    </row>
    <row r="434" spans="1:7" ht="12.75" customHeight="1">
      <c r="A434" s="454" t="s">
        <v>30</v>
      </c>
      <c r="B434" s="455"/>
      <c r="C434" s="110"/>
      <c r="D434" s="111"/>
      <c r="E434" s="129"/>
      <c r="F434" s="130">
        <f>SUM(F417:F433)</f>
        <v>277.92059999999998</v>
      </c>
      <c r="G434" s="114">
        <f>F413*F434</f>
        <v>0</v>
      </c>
    </row>
    <row r="435" spans="1:7" ht="13.5" customHeight="1" thickBot="1">
      <c r="A435" s="467" t="s">
        <v>31</v>
      </c>
      <c r="B435" s="468"/>
      <c r="C435" s="469"/>
      <c r="D435" s="115"/>
      <c r="E435" s="116">
        <f>E417+E419+E420+E421+E422+E424+E425+E426+E429+E431+E433</f>
        <v>45.820000000000007</v>
      </c>
      <c r="F435" s="131"/>
      <c r="G435" s="118" t="s">
        <v>277</v>
      </c>
    </row>
    <row r="436" spans="1:7" ht="13.5" thickBot="1"/>
    <row r="437" spans="1:7" ht="11.25" customHeight="1">
      <c r="A437" s="456" t="s">
        <v>661</v>
      </c>
      <c r="B437" s="457"/>
      <c r="C437" s="457"/>
      <c r="D437" s="457"/>
      <c r="E437" s="457"/>
      <c r="F437" s="458"/>
    </row>
    <row r="438" spans="1:7" ht="11.25" customHeight="1">
      <c r="A438" s="459"/>
      <c r="B438" s="460"/>
      <c r="C438" s="460"/>
      <c r="D438" s="460"/>
      <c r="E438" s="460"/>
      <c r="F438" s="461"/>
    </row>
    <row r="439" spans="1:7" ht="11.25" customHeight="1" thickBot="1">
      <c r="A439" s="462"/>
      <c r="B439" s="463"/>
      <c r="C439" s="463"/>
      <c r="D439" s="463"/>
      <c r="E439" s="463"/>
      <c r="F439" s="464"/>
    </row>
    <row r="440" spans="1:7" ht="13.5" thickBot="1"/>
    <row r="441" spans="1:7" ht="13.5" thickBot="1">
      <c r="B441" s="2" t="s">
        <v>127</v>
      </c>
      <c r="D441" s="470" t="s">
        <v>1</v>
      </c>
      <c r="E441" s="471"/>
      <c r="F441" s="81">
        <v>0</v>
      </c>
    </row>
    <row r="442" spans="1:7" ht="11.25" customHeight="1" thickBot="1">
      <c r="D442" s="3"/>
      <c r="E442" s="3"/>
      <c r="F442" s="83"/>
    </row>
    <row r="443" spans="1:7" ht="11.25" customHeight="1">
      <c r="A443" s="472" t="s">
        <v>276</v>
      </c>
      <c r="B443" s="473"/>
      <c r="C443" s="473"/>
      <c r="D443" s="473"/>
      <c r="E443" s="465" t="s">
        <v>2</v>
      </c>
      <c r="F443" s="466"/>
    </row>
    <row r="444" spans="1:7" ht="51.75" thickBot="1">
      <c r="A444" s="372" t="s">
        <v>716</v>
      </c>
      <c r="B444" s="84" t="s">
        <v>3</v>
      </c>
      <c r="C444" s="84" t="s">
        <v>4</v>
      </c>
      <c r="D444" s="84" t="s">
        <v>5</v>
      </c>
      <c r="E444" s="85" t="s">
        <v>6</v>
      </c>
      <c r="F444" s="86" t="s">
        <v>7</v>
      </c>
    </row>
    <row r="445" spans="1:7" ht="13.5" thickTop="1">
      <c r="A445" s="184">
        <v>1</v>
      </c>
      <c r="B445" s="96" t="s">
        <v>41</v>
      </c>
      <c r="C445" s="185" t="s">
        <v>34</v>
      </c>
      <c r="D445" s="88">
        <v>1.23</v>
      </c>
      <c r="E445" s="186">
        <v>17.579999999999998</v>
      </c>
      <c r="F445" s="187">
        <f>(E445*D445)</f>
        <v>21.623399999999997</v>
      </c>
    </row>
    <row r="446" spans="1:7">
      <c r="A446" s="184">
        <v>2</v>
      </c>
      <c r="B446" s="54" t="s">
        <v>8</v>
      </c>
      <c r="C446" s="185" t="s">
        <v>43</v>
      </c>
      <c r="D446" s="88">
        <v>1.23</v>
      </c>
      <c r="E446" s="186">
        <v>2.16</v>
      </c>
      <c r="F446" s="187">
        <f>(E446*D446)</f>
        <v>2.6568000000000001</v>
      </c>
    </row>
    <row r="447" spans="1:7">
      <c r="A447" s="184"/>
      <c r="B447" s="91" t="s">
        <v>10</v>
      </c>
      <c r="C447" s="185"/>
      <c r="D447" s="93">
        <v>0.35</v>
      </c>
      <c r="E447" s="186">
        <v>300</v>
      </c>
      <c r="F447" s="187">
        <f t="shared" ref="F447:F477" si="13">(E447*D447)</f>
        <v>105</v>
      </c>
    </row>
    <row r="448" spans="1:7">
      <c r="A448" s="184">
        <v>3</v>
      </c>
      <c r="B448" s="95" t="s">
        <v>11</v>
      </c>
      <c r="C448" s="185" t="s">
        <v>43</v>
      </c>
      <c r="D448" s="88">
        <v>1.23</v>
      </c>
      <c r="E448" s="186">
        <v>1.1599999999999999</v>
      </c>
      <c r="F448" s="187">
        <f t="shared" si="13"/>
        <v>1.4267999999999998</v>
      </c>
    </row>
    <row r="449" spans="1:6">
      <c r="A449" s="184">
        <v>4</v>
      </c>
      <c r="B449" s="96" t="s">
        <v>12</v>
      </c>
      <c r="C449" s="185" t="s">
        <v>43</v>
      </c>
      <c r="D449" s="88">
        <v>1.23</v>
      </c>
      <c r="E449" s="186">
        <v>21.66</v>
      </c>
      <c r="F449" s="187">
        <f t="shared" si="13"/>
        <v>26.6418</v>
      </c>
    </row>
    <row r="450" spans="1:6">
      <c r="A450" s="184"/>
      <c r="B450" s="96" t="s">
        <v>691</v>
      </c>
      <c r="C450" s="185"/>
      <c r="D450" s="188">
        <v>57.33</v>
      </c>
      <c r="E450" s="186">
        <v>1</v>
      </c>
      <c r="F450" s="187">
        <f t="shared" si="13"/>
        <v>57.33</v>
      </c>
    </row>
    <row r="451" spans="1:6">
      <c r="A451" s="184">
        <v>5</v>
      </c>
      <c r="B451" s="96" t="s">
        <v>128</v>
      </c>
      <c r="C451" s="185" t="s">
        <v>129</v>
      </c>
      <c r="D451" s="189"/>
      <c r="E451" s="186">
        <v>0</v>
      </c>
      <c r="F451" s="187">
        <f t="shared" si="13"/>
        <v>0</v>
      </c>
    </row>
    <row r="452" spans="1:6">
      <c r="A452" s="184"/>
      <c r="B452" s="96" t="s">
        <v>130</v>
      </c>
      <c r="C452" s="185"/>
      <c r="D452" s="190">
        <v>56.52</v>
      </c>
      <c r="E452" s="186">
        <v>2.5000000000000001E-3</v>
      </c>
      <c r="F452" s="187">
        <f t="shared" si="13"/>
        <v>0.14130000000000001</v>
      </c>
    </row>
    <row r="453" spans="1:6">
      <c r="A453" s="184"/>
      <c r="B453" s="96" t="s">
        <v>24</v>
      </c>
      <c r="C453" s="185"/>
      <c r="D453" s="97">
        <v>26.24</v>
      </c>
      <c r="E453" s="186">
        <v>1E-3</v>
      </c>
      <c r="F453" s="187">
        <f t="shared" si="13"/>
        <v>2.6239999999999999E-2</v>
      </c>
    </row>
    <row r="454" spans="1:6">
      <c r="A454" s="184">
        <v>6</v>
      </c>
      <c r="B454" s="54" t="s">
        <v>8</v>
      </c>
      <c r="C454" s="185" t="s">
        <v>45</v>
      </c>
      <c r="D454" s="88">
        <v>1.23</v>
      </c>
      <c r="E454" s="186">
        <v>1.38</v>
      </c>
      <c r="F454" s="187">
        <f t="shared" si="13"/>
        <v>1.6973999999999998</v>
      </c>
    </row>
    <row r="455" spans="1:6">
      <c r="A455" s="184"/>
      <c r="B455" s="91" t="s">
        <v>19</v>
      </c>
      <c r="C455" s="185"/>
      <c r="D455" s="97">
        <v>0.26</v>
      </c>
      <c r="E455" s="186">
        <v>200</v>
      </c>
      <c r="F455" s="187">
        <f t="shared" si="13"/>
        <v>52</v>
      </c>
    </row>
    <row r="456" spans="1:6">
      <c r="A456" s="184">
        <v>7</v>
      </c>
      <c r="B456" s="95" t="s">
        <v>11</v>
      </c>
      <c r="C456" s="185" t="s">
        <v>45</v>
      </c>
      <c r="D456" s="88">
        <v>1.23</v>
      </c>
      <c r="E456" s="186">
        <v>1.1599999999999999</v>
      </c>
      <c r="F456" s="187">
        <f t="shared" si="13"/>
        <v>1.4267999999999998</v>
      </c>
    </row>
    <row r="457" spans="1:6">
      <c r="A457" s="184">
        <v>8</v>
      </c>
      <c r="B457" s="96" t="s">
        <v>83</v>
      </c>
      <c r="C457" s="185" t="s">
        <v>45</v>
      </c>
      <c r="D457" s="88">
        <v>1.23</v>
      </c>
      <c r="E457" s="186">
        <v>0.92</v>
      </c>
      <c r="F457" s="187">
        <f t="shared" si="13"/>
        <v>1.1315999999999999</v>
      </c>
    </row>
    <row r="458" spans="1:6">
      <c r="A458" s="184"/>
      <c r="B458" s="191" t="s">
        <v>131</v>
      </c>
      <c r="C458" s="185"/>
      <c r="D458" s="192">
        <v>8.8800000000000008</v>
      </c>
      <c r="E458" s="186">
        <v>5</v>
      </c>
      <c r="F458" s="187">
        <f t="shared" si="13"/>
        <v>44.400000000000006</v>
      </c>
    </row>
    <row r="459" spans="1:6">
      <c r="A459" s="184">
        <v>9</v>
      </c>
      <c r="B459" s="95" t="s">
        <v>44</v>
      </c>
      <c r="C459" s="185" t="s">
        <v>45</v>
      </c>
      <c r="D459" s="88">
        <v>1.23</v>
      </c>
      <c r="E459" s="186">
        <v>2.16</v>
      </c>
      <c r="F459" s="187">
        <f t="shared" si="13"/>
        <v>2.6568000000000001</v>
      </c>
    </row>
    <row r="460" spans="1:6">
      <c r="A460" s="184">
        <v>10</v>
      </c>
      <c r="B460" s="191" t="s">
        <v>132</v>
      </c>
      <c r="C460" s="185" t="s">
        <v>21</v>
      </c>
      <c r="D460" s="88">
        <v>1.23</v>
      </c>
      <c r="E460" s="186">
        <v>25.48</v>
      </c>
      <c r="F460" s="187">
        <f t="shared" si="13"/>
        <v>31.340399999999999</v>
      </c>
    </row>
    <row r="461" spans="1:6">
      <c r="A461" s="184">
        <v>11</v>
      </c>
      <c r="B461" s="191" t="s">
        <v>133</v>
      </c>
      <c r="C461" s="185" t="s">
        <v>21</v>
      </c>
      <c r="D461" s="189"/>
      <c r="E461" s="186">
        <v>0</v>
      </c>
      <c r="F461" s="187">
        <f t="shared" si="13"/>
        <v>0</v>
      </c>
    </row>
    <row r="462" spans="1:6">
      <c r="A462" s="184">
        <v>12</v>
      </c>
      <c r="B462" s="95" t="s">
        <v>134</v>
      </c>
      <c r="C462" s="185" t="s">
        <v>21</v>
      </c>
      <c r="D462" s="88">
        <v>1.23</v>
      </c>
      <c r="E462" s="186">
        <v>40</v>
      </c>
      <c r="F462" s="187">
        <f t="shared" si="13"/>
        <v>49.2</v>
      </c>
    </row>
    <row r="463" spans="1:6">
      <c r="A463" s="184">
        <v>13</v>
      </c>
      <c r="B463" s="191" t="s">
        <v>77</v>
      </c>
      <c r="C463" s="185" t="s">
        <v>21</v>
      </c>
      <c r="D463" s="88">
        <v>1.23</v>
      </c>
      <c r="E463" s="186">
        <v>2.64</v>
      </c>
      <c r="F463" s="187">
        <f t="shared" si="13"/>
        <v>3.2472000000000003</v>
      </c>
    </row>
    <row r="464" spans="1:6">
      <c r="A464" s="17">
        <v>14</v>
      </c>
      <c r="B464" s="96" t="s">
        <v>20</v>
      </c>
      <c r="C464" s="92" t="s">
        <v>21</v>
      </c>
      <c r="D464" s="88">
        <v>1.23</v>
      </c>
      <c r="E464" s="94">
        <v>0.96</v>
      </c>
      <c r="F464" s="187">
        <f t="shared" si="13"/>
        <v>1.1807999999999998</v>
      </c>
    </row>
    <row r="465" spans="1:7">
      <c r="A465" s="184">
        <v>15</v>
      </c>
      <c r="B465" s="96" t="s">
        <v>22</v>
      </c>
      <c r="C465" s="185" t="s">
        <v>21</v>
      </c>
      <c r="D465" s="88">
        <v>1.23</v>
      </c>
      <c r="E465" s="186">
        <v>0.92</v>
      </c>
      <c r="F465" s="187">
        <f t="shared" si="13"/>
        <v>1.1315999999999999</v>
      </c>
    </row>
    <row r="466" spans="1:7">
      <c r="A466" s="184"/>
      <c r="B466" s="193" t="s">
        <v>135</v>
      </c>
      <c r="C466" s="185"/>
      <c r="D466" s="194">
        <v>14.78</v>
      </c>
      <c r="E466" s="186">
        <v>1.2</v>
      </c>
      <c r="F466" s="187">
        <f t="shared" si="13"/>
        <v>17.735999999999997</v>
      </c>
    </row>
    <row r="467" spans="1:7">
      <c r="A467" s="184">
        <v>16</v>
      </c>
      <c r="B467" s="95" t="s">
        <v>134</v>
      </c>
      <c r="C467" s="185" t="s">
        <v>54</v>
      </c>
      <c r="D467" s="88">
        <v>1.23</v>
      </c>
      <c r="E467" s="186">
        <v>40</v>
      </c>
      <c r="F467" s="187">
        <f t="shared" si="13"/>
        <v>49.2</v>
      </c>
    </row>
    <row r="468" spans="1:7">
      <c r="A468" s="184">
        <v>17</v>
      </c>
      <c r="B468" s="95" t="s">
        <v>53</v>
      </c>
      <c r="C468" s="185" t="s">
        <v>54</v>
      </c>
      <c r="D468" s="88">
        <v>1.23</v>
      </c>
      <c r="E468" s="186">
        <v>2.64</v>
      </c>
      <c r="F468" s="187">
        <f t="shared" si="13"/>
        <v>3.2472000000000003</v>
      </c>
    </row>
    <row r="469" spans="1:7">
      <c r="A469" s="17">
        <v>18</v>
      </c>
      <c r="B469" s="54" t="s">
        <v>47</v>
      </c>
      <c r="C469" s="185" t="s">
        <v>136</v>
      </c>
      <c r="D469" s="88">
        <v>1.23</v>
      </c>
      <c r="E469" s="94">
        <f>0.96*2</f>
        <v>1.92</v>
      </c>
      <c r="F469" s="187">
        <f t="shared" si="13"/>
        <v>2.3615999999999997</v>
      </c>
    </row>
    <row r="470" spans="1:7">
      <c r="A470" s="184">
        <v>19</v>
      </c>
      <c r="B470" s="96" t="s">
        <v>48</v>
      </c>
      <c r="C470" s="185" t="s">
        <v>136</v>
      </c>
      <c r="D470" s="88">
        <v>1.23</v>
      </c>
      <c r="E470" s="186">
        <f>0.92*2</f>
        <v>1.84</v>
      </c>
      <c r="F470" s="187">
        <f t="shared" si="13"/>
        <v>2.2631999999999999</v>
      </c>
    </row>
    <row r="471" spans="1:7">
      <c r="A471" s="184"/>
      <c r="B471" s="193" t="s">
        <v>74</v>
      </c>
      <c r="C471" s="185" t="s">
        <v>54</v>
      </c>
      <c r="D471" s="195">
        <v>26.65</v>
      </c>
      <c r="E471" s="186">
        <v>1.2</v>
      </c>
      <c r="F471" s="187">
        <f t="shared" si="13"/>
        <v>31.979999999999997</v>
      </c>
    </row>
    <row r="472" spans="1:7">
      <c r="A472" s="184"/>
      <c r="B472" s="193" t="s">
        <v>137</v>
      </c>
      <c r="C472" s="185"/>
      <c r="D472" s="196">
        <v>6.46</v>
      </c>
      <c r="E472" s="186">
        <v>2.5</v>
      </c>
      <c r="F472" s="187">
        <f t="shared" si="13"/>
        <v>16.149999999999999</v>
      </c>
    </row>
    <row r="473" spans="1:7">
      <c r="A473" s="184"/>
      <c r="B473" s="193" t="s">
        <v>630</v>
      </c>
      <c r="C473" s="185" t="s">
        <v>34</v>
      </c>
      <c r="D473" s="197">
        <v>10.09</v>
      </c>
      <c r="E473" s="186">
        <v>1</v>
      </c>
      <c r="F473" s="187">
        <f t="shared" si="13"/>
        <v>10.09</v>
      </c>
    </row>
    <row r="474" spans="1:7">
      <c r="A474" s="17">
        <v>20</v>
      </c>
      <c r="B474" s="95" t="s">
        <v>138</v>
      </c>
      <c r="C474" s="92" t="s">
        <v>26</v>
      </c>
      <c r="D474" s="88">
        <v>1.23</v>
      </c>
      <c r="E474" s="94">
        <v>80</v>
      </c>
      <c r="F474" s="187">
        <f t="shared" si="13"/>
        <v>98.4</v>
      </c>
    </row>
    <row r="475" spans="1:7">
      <c r="A475" s="17">
        <v>21</v>
      </c>
      <c r="B475" s="95" t="s">
        <v>139</v>
      </c>
      <c r="C475" s="92" t="s">
        <v>79</v>
      </c>
      <c r="D475" s="88"/>
      <c r="E475" s="94">
        <v>0</v>
      </c>
      <c r="F475" s="187">
        <f t="shared" si="13"/>
        <v>0</v>
      </c>
    </row>
    <row r="476" spans="1:7">
      <c r="A476" s="17">
        <v>22</v>
      </c>
      <c r="B476" s="96" t="s">
        <v>132</v>
      </c>
      <c r="C476" s="92" t="s">
        <v>79</v>
      </c>
      <c r="D476" s="88">
        <v>1.23</v>
      </c>
      <c r="E476" s="94">
        <v>24</v>
      </c>
      <c r="F476" s="187">
        <f t="shared" si="13"/>
        <v>29.52</v>
      </c>
    </row>
    <row r="477" spans="1:7" ht="13.5" thickBot="1">
      <c r="A477" s="44">
        <v>23</v>
      </c>
      <c r="B477" s="198" t="s">
        <v>140</v>
      </c>
      <c r="C477" s="199" t="s">
        <v>79</v>
      </c>
      <c r="D477" s="107"/>
      <c r="E477" s="200">
        <v>0</v>
      </c>
      <c r="F477" s="109">
        <f t="shared" si="13"/>
        <v>0</v>
      </c>
    </row>
    <row r="478" spans="1:7">
      <c r="A478" s="454" t="s">
        <v>30</v>
      </c>
      <c r="B478" s="455"/>
      <c r="C478" s="201"/>
      <c r="D478" s="202"/>
      <c r="E478" s="203"/>
      <c r="F478" s="204">
        <f>SUM(F445:F477)</f>
        <v>665.20693999999992</v>
      </c>
      <c r="G478" s="114">
        <f>F441*F478</f>
        <v>0</v>
      </c>
    </row>
    <row r="479" spans="1:7" ht="13.5" thickBot="1">
      <c r="A479" s="467" t="s">
        <v>31</v>
      </c>
      <c r="B479" s="468"/>
      <c r="C479" s="469"/>
      <c r="D479" s="105"/>
      <c r="E479" s="205">
        <f>E445+E446+E448+E449+E454+E456+E457+E459+E460+E462+E463+E464+E465+E467+E468+E469+E470+E474+E476+E477</f>
        <v>268.58</v>
      </c>
      <c r="F479" s="206"/>
      <c r="G479" s="118" t="s">
        <v>277</v>
      </c>
    </row>
    <row r="480" spans="1:7" ht="13.5" thickBot="1">
      <c r="D480" s="3"/>
      <c r="E480" s="3"/>
      <c r="F480" s="83"/>
    </row>
    <row r="481" spans="1:6" ht="11.25" customHeight="1">
      <c r="A481" s="456" t="s">
        <v>662</v>
      </c>
      <c r="B481" s="480"/>
      <c r="C481" s="480"/>
      <c r="D481" s="480"/>
      <c r="E481" s="480"/>
      <c r="F481" s="481"/>
    </row>
    <row r="482" spans="1:6" ht="11.25" customHeight="1">
      <c r="A482" s="482"/>
      <c r="B482" s="483"/>
      <c r="C482" s="483"/>
      <c r="D482" s="483"/>
      <c r="E482" s="483"/>
      <c r="F482" s="484"/>
    </row>
    <row r="483" spans="1:6" ht="11.25" customHeight="1">
      <c r="A483" s="482"/>
      <c r="B483" s="483"/>
      <c r="C483" s="483"/>
      <c r="D483" s="483"/>
      <c r="E483" s="483"/>
      <c r="F483" s="484"/>
    </row>
    <row r="484" spans="1:6" ht="11.25" customHeight="1" thickBot="1">
      <c r="A484" s="485"/>
      <c r="B484" s="486"/>
      <c r="C484" s="486"/>
      <c r="D484" s="486"/>
      <c r="E484" s="486"/>
      <c r="F484" s="487"/>
    </row>
    <row r="485" spans="1:6" ht="13.5" thickBot="1"/>
    <row r="486" spans="1:6" ht="13.5" thickBot="1">
      <c r="B486" s="2" t="s">
        <v>609</v>
      </c>
      <c r="D486" s="470" t="s">
        <v>1</v>
      </c>
      <c r="E486" s="471"/>
      <c r="F486" s="81">
        <v>0</v>
      </c>
    </row>
    <row r="487" spans="1:6" ht="11.25" customHeight="1" thickBot="1">
      <c r="D487" s="3"/>
      <c r="E487" s="3"/>
      <c r="F487" s="83"/>
    </row>
    <row r="488" spans="1:6" ht="11.25" customHeight="1">
      <c r="A488" s="472" t="s">
        <v>276</v>
      </c>
      <c r="B488" s="473"/>
      <c r="C488" s="473"/>
      <c r="D488" s="473"/>
      <c r="E488" s="465" t="s">
        <v>2</v>
      </c>
      <c r="F488" s="466"/>
    </row>
    <row r="489" spans="1:6" ht="51.75" thickBot="1">
      <c r="A489" s="372" t="s">
        <v>716</v>
      </c>
      <c r="B489" s="84" t="s">
        <v>3</v>
      </c>
      <c r="C489" s="84" t="s">
        <v>4</v>
      </c>
      <c r="D489" s="84" t="s">
        <v>5</v>
      </c>
      <c r="E489" s="85" t="s">
        <v>6</v>
      </c>
      <c r="F489" s="86" t="s">
        <v>7</v>
      </c>
    </row>
    <row r="490" spans="1:6" ht="13.5" thickTop="1">
      <c r="A490" s="184">
        <v>1</v>
      </c>
      <c r="B490" s="96" t="s">
        <v>39</v>
      </c>
      <c r="C490" s="185" t="s">
        <v>9</v>
      </c>
      <c r="D490" s="88">
        <v>1.23</v>
      </c>
      <c r="E490" s="186">
        <v>7.55</v>
      </c>
      <c r="F490" s="187">
        <v>9.82</v>
      </c>
    </row>
    <row r="491" spans="1:6">
      <c r="A491" s="184">
        <v>2</v>
      </c>
      <c r="B491" s="54" t="s">
        <v>40</v>
      </c>
      <c r="C491" s="185" t="s">
        <v>9</v>
      </c>
      <c r="D491" s="88">
        <v>1.23</v>
      </c>
      <c r="E491" s="186">
        <v>40</v>
      </c>
      <c r="F491" s="187">
        <f>(E491*D491)</f>
        <v>49.2</v>
      </c>
    </row>
    <row r="492" spans="1:6">
      <c r="A492" s="184">
        <v>3</v>
      </c>
      <c r="B492" s="91" t="s">
        <v>12</v>
      </c>
      <c r="C492" s="185" t="s">
        <v>43</v>
      </c>
      <c r="D492" s="88">
        <v>1.23</v>
      </c>
      <c r="E492" s="186">
        <v>21.66</v>
      </c>
      <c r="F492" s="187">
        <v>28.16</v>
      </c>
    </row>
    <row r="493" spans="1:6">
      <c r="A493" s="184">
        <v>4</v>
      </c>
      <c r="B493" s="95" t="s">
        <v>44</v>
      </c>
      <c r="C493" s="185" t="s">
        <v>70</v>
      </c>
      <c r="D493" s="88">
        <v>1.23</v>
      </c>
      <c r="E493" s="186">
        <v>2.16</v>
      </c>
      <c r="F493" s="187">
        <f t="shared" ref="F493:F500" si="14">(E493*D493)</f>
        <v>2.6568000000000001</v>
      </c>
    </row>
    <row r="494" spans="1:6">
      <c r="A494" s="184">
        <v>5</v>
      </c>
      <c r="B494" s="96" t="s">
        <v>15</v>
      </c>
      <c r="C494" s="185" t="s">
        <v>70</v>
      </c>
      <c r="D494" s="88">
        <v>1.23</v>
      </c>
      <c r="E494" s="186">
        <v>0.96</v>
      </c>
      <c r="F494" s="187">
        <v>1.25</v>
      </c>
    </row>
    <row r="495" spans="1:6">
      <c r="A495" s="184"/>
      <c r="B495" s="96" t="s">
        <v>16</v>
      </c>
      <c r="C495" s="185"/>
      <c r="D495" s="190">
        <v>3.23</v>
      </c>
      <c r="E495" s="186">
        <v>250</v>
      </c>
      <c r="F495" s="187">
        <f t="shared" si="14"/>
        <v>807.5</v>
      </c>
    </row>
    <row r="496" spans="1:6">
      <c r="A496" s="184">
        <v>6</v>
      </c>
      <c r="B496" s="96" t="s">
        <v>17</v>
      </c>
      <c r="C496" s="185" t="s">
        <v>70</v>
      </c>
      <c r="D496" s="88">
        <v>1.23</v>
      </c>
      <c r="E496" s="186">
        <v>2.76</v>
      </c>
      <c r="F496" s="187">
        <v>3.59</v>
      </c>
    </row>
    <row r="497" spans="1:7">
      <c r="A497" s="184">
        <v>7</v>
      </c>
      <c r="B497" s="96" t="s">
        <v>25</v>
      </c>
      <c r="C497" s="185" t="s">
        <v>34</v>
      </c>
      <c r="D497" s="190"/>
      <c r="E497" s="186">
        <v>2.5000000000000001E-3</v>
      </c>
      <c r="F497" s="187">
        <f t="shared" si="14"/>
        <v>0</v>
      </c>
    </row>
    <row r="498" spans="1:7">
      <c r="A498" s="184">
        <v>8</v>
      </c>
      <c r="B498" s="96" t="s">
        <v>610</v>
      </c>
      <c r="C498" s="185" t="s">
        <v>34</v>
      </c>
      <c r="D498" s="88">
        <v>1.23</v>
      </c>
      <c r="E498" s="186">
        <v>8</v>
      </c>
      <c r="F498" s="187">
        <f t="shared" si="14"/>
        <v>9.84</v>
      </c>
    </row>
    <row r="499" spans="1:7">
      <c r="A499" s="184">
        <v>9</v>
      </c>
      <c r="B499" s="54" t="s">
        <v>611</v>
      </c>
      <c r="C499" s="185" t="s">
        <v>34</v>
      </c>
      <c r="D499" s="88"/>
      <c r="E499" s="186">
        <v>0</v>
      </c>
      <c r="F499" s="187">
        <f t="shared" si="14"/>
        <v>0</v>
      </c>
    </row>
    <row r="500" spans="1:7" ht="13.5" thickBot="1">
      <c r="A500" s="30">
        <v>10</v>
      </c>
      <c r="B500" s="207" t="s">
        <v>612</v>
      </c>
      <c r="C500" s="106" t="s">
        <v>34</v>
      </c>
      <c r="D500" s="208">
        <v>1.23</v>
      </c>
      <c r="E500" s="108">
        <v>18</v>
      </c>
      <c r="F500" s="109">
        <f t="shared" si="14"/>
        <v>22.14</v>
      </c>
    </row>
    <row r="501" spans="1:7">
      <c r="A501" s="479" t="s">
        <v>30</v>
      </c>
      <c r="B501" s="474"/>
      <c r="C501" s="201"/>
      <c r="D501" s="202"/>
      <c r="E501" s="203"/>
      <c r="F501" s="204">
        <f>SUM(F490:F500)</f>
        <v>934.15680000000009</v>
      </c>
      <c r="G501" s="114">
        <f>F486*F501</f>
        <v>0</v>
      </c>
    </row>
    <row r="502" spans="1:7" ht="13.5" thickBot="1">
      <c r="A502" s="467" t="s">
        <v>31</v>
      </c>
      <c r="B502" s="468"/>
      <c r="C502" s="469"/>
      <c r="D502" s="105"/>
      <c r="E502" s="205">
        <f>E490+E491+E492+E493+E494+E496+E497+E498+E499+E500</f>
        <v>101.09249999999999</v>
      </c>
      <c r="F502" s="206"/>
      <c r="G502" s="118" t="s">
        <v>277</v>
      </c>
    </row>
    <row r="503" spans="1:7" ht="13.5" thickBot="1">
      <c r="D503" s="3"/>
      <c r="E503" s="3"/>
      <c r="F503" s="83"/>
    </row>
    <row r="504" spans="1:7" ht="11.25" customHeight="1">
      <c r="A504" s="456" t="s">
        <v>32</v>
      </c>
      <c r="B504" s="480"/>
      <c r="C504" s="480"/>
      <c r="D504" s="480"/>
      <c r="E504" s="480"/>
      <c r="F504" s="481"/>
    </row>
    <row r="505" spans="1:7" ht="11.25" customHeight="1">
      <c r="A505" s="482"/>
      <c r="B505" s="488"/>
      <c r="C505" s="488"/>
      <c r="D505" s="488"/>
      <c r="E505" s="488"/>
      <c r="F505" s="484"/>
    </row>
    <row r="506" spans="1:7" ht="11.25" customHeight="1" thickBot="1">
      <c r="A506" s="485"/>
      <c r="B506" s="486"/>
      <c r="C506" s="486"/>
      <c r="D506" s="486"/>
      <c r="E506" s="486"/>
      <c r="F506" s="487"/>
    </row>
  </sheetData>
  <mergeCells count="90">
    <mergeCell ref="A504:F506"/>
    <mergeCell ref="D486:E486"/>
    <mergeCell ref="A488:D488"/>
    <mergeCell ref="E488:F488"/>
    <mergeCell ref="A501:B501"/>
    <mergeCell ref="A502:C502"/>
    <mergeCell ref="A407:C407"/>
    <mergeCell ref="D413:E413"/>
    <mergeCell ref="A415:D415"/>
    <mergeCell ref="E415:F415"/>
    <mergeCell ref="A481:F484"/>
    <mergeCell ref="A479:C479"/>
    <mergeCell ref="A434:B434"/>
    <mergeCell ref="A435:C435"/>
    <mergeCell ref="D441:E441"/>
    <mergeCell ref="A443:D443"/>
    <mergeCell ref="E443:F443"/>
    <mergeCell ref="A478:B478"/>
    <mergeCell ref="A437:F439"/>
    <mergeCell ref="A409:F411"/>
    <mergeCell ref="D1:E1"/>
    <mergeCell ref="A3:D3"/>
    <mergeCell ref="E3:F3"/>
    <mergeCell ref="A27:B27"/>
    <mergeCell ref="D36:E36"/>
    <mergeCell ref="A28:C28"/>
    <mergeCell ref="A30:F34"/>
    <mergeCell ref="A96:C96"/>
    <mergeCell ref="D103:E103"/>
    <mergeCell ref="A105:D105"/>
    <mergeCell ref="A65:F67"/>
    <mergeCell ref="A38:D38"/>
    <mergeCell ref="A98:F101"/>
    <mergeCell ref="E38:F38"/>
    <mergeCell ref="A62:B62"/>
    <mergeCell ref="E105:F105"/>
    <mergeCell ref="A63:C63"/>
    <mergeCell ref="D69:E69"/>
    <mergeCell ref="A71:D71"/>
    <mergeCell ref="E71:F71"/>
    <mergeCell ref="A95:B95"/>
    <mergeCell ref="E177:F177"/>
    <mergeCell ref="A131:B131"/>
    <mergeCell ref="A132:C132"/>
    <mergeCell ref="D138:E138"/>
    <mergeCell ref="A140:D140"/>
    <mergeCell ref="E140:F140"/>
    <mergeCell ref="A166:B166"/>
    <mergeCell ref="A167:C167"/>
    <mergeCell ref="D175:E175"/>
    <mergeCell ref="A177:D177"/>
    <mergeCell ref="A134:F136"/>
    <mergeCell ref="A169:F173"/>
    <mergeCell ref="E245:F245"/>
    <mergeCell ref="A199:B199"/>
    <mergeCell ref="A200:C200"/>
    <mergeCell ref="D206:E206"/>
    <mergeCell ref="A208:D208"/>
    <mergeCell ref="E208:F208"/>
    <mergeCell ref="A236:B236"/>
    <mergeCell ref="A237:C237"/>
    <mergeCell ref="D243:E243"/>
    <mergeCell ref="A245:D245"/>
    <mergeCell ref="A239:F241"/>
    <mergeCell ref="A202:F204"/>
    <mergeCell ref="E314:F314"/>
    <mergeCell ref="A276:B276"/>
    <mergeCell ref="A277:C277"/>
    <mergeCell ref="D283:E283"/>
    <mergeCell ref="A285:D285"/>
    <mergeCell ref="E285:F285"/>
    <mergeCell ref="A304:B304"/>
    <mergeCell ref="A305:C305"/>
    <mergeCell ref="D312:E312"/>
    <mergeCell ref="A314:D314"/>
    <mergeCell ref="A279:F281"/>
    <mergeCell ref="A307:F310"/>
    <mergeCell ref="A339:B339"/>
    <mergeCell ref="A340:C340"/>
    <mergeCell ref="D347:E347"/>
    <mergeCell ref="A349:D349"/>
    <mergeCell ref="E349:F349"/>
    <mergeCell ref="A342:F345"/>
    <mergeCell ref="A406:B406"/>
    <mergeCell ref="A376:F378"/>
    <mergeCell ref="E382:F382"/>
    <mergeCell ref="A373:B373"/>
    <mergeCell ref="A374:C374"/>
    <mergeCell ref="D380:E380"/>
    <mergeCell ref="A382:D382"/>
  </mergeCells>
  <pageMargins left="0.7" right="0.7" top="0.75" bottom="0.75" header="0.3" footer="0.3"/>
  <pageSetup paperSize="9" scale="70" orientation="portrait" r:id="rId1"/>
  <headerFooter>
    <oddFooter>&amp;LPrilog 1 NLB-3-K-075</oddFooter>
  </headerFooter>
  <rowBreaks count="7" manualBreakCount="7">
    <brk id="67" max="6" man="1"/>
    <brk id="136" max="6" man="1"/>
    <brk id="204" max="6" man="1"/>
    <brk id="281" max="6" man="1"/>
    <brk id="345" max="6" man="1"/>
    <brk id="411" max="6" man="1"/>
    <brk id="485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6"/>
  <sheetViews>
    <sheetView zoomScaleSheetLayoutView="80" workbookViewId="0">
      <selection activeCell="F1" sqref="F1"/>
    </sheetView>
  </sheetViews>
  <sheetFormatPr defaultRowHeight="12.75"/>
  <cols>
    <col min="1" max="1" width="3.5703125" style="3" bestFit="1" customWidth="1"/>
    <col min="2" max="2" width="30.7109375" style="3" customWidth="1"/>
    <col min="3" max="4" width="10.7109375" style="3" customWidth="1"/>
    <col min="5" max="5" width="17.7109375" style="3" customWidth="1"/>
    <col min="6" max="6" width="17.7109375" style="83" customWidth="1"/>
    <col min="7" max="252" width="9.140625" style="3"/>
    <col min="253" max="253" width="3.5703125" style="3" bestFit="1" customWidth="1"/>
    <col min="254" max="254" width="28.7109375" style="3" customWidth="1"/>
    <col min="255" max="255" width="7.85546875" style="3" bestFit="1" customWidth="1"/>
    <col min="256" max="256" width="10.42578125" style="3" bestFit="1" customWidth="1"/>
    <col min="257" max="257" width="7" style="3" customWidth="1"/>
    <col min="258" max="258" width="10.7109375" style="3" customWidth="1"/>
    <col min="259" max="259" width="10.28515625" style="3" customWidth="1"/>
    <col min="260" max="260" width="9.140625" style="3"/>
    <col min="261" max="261" width="11.42578125" style="3" customWidth="1"/>
    <col min="262" max="262" width="13.85546875" style="3" customWidth="1"/>
    <col min="263" max="508" width="9.140625" style="3"/>
    <col min="509" max="509" width="3.5703125" style="3" bestFit="1" customWidth="1"/>
    <col min="510" max="510" width="28.7109375" style="3" customWidth="1"/>
    <col min="511" max="511" width="7.85546875" style="3" bestFit="1" customWidth="1"/>
    <col min="512" max="512" width="10.42578125" style="3" bestFit="1" customWidth="1"/>
    <col min="513" max="513" width="7" style="3" customWidth="1"/>
    <col min="514" max="514" width="10.7109375" style="3" customWidth="1"/>
    <col min="515" max="515" width="10.28515625" style="3" customWidth="1"/>
    <col min="516" max="516" width="9.140625" style="3"/>
    <col min="517" max="517" width="11.42578125" style="3" customWidth="1"/>
    <col min="518" max="518" width="13.85546875" style="3" customWidth="1"/>
    <col min="519" max="764" width="9.140625" style="3"/>
    <col min="765" max="765" width="3.5703125" style="3" bestFit="1" customWidth="1"/>
    <col min="766" max="766" width="28.7109375" style="3" customWidth="1"/>
    <col min="767" max="767" width="7.85546875" style="3" bestFit="1" customWidth="1"/>
    <col min="768" max="768" width="10.42578125" style="3" bestFit="1" customWidth="1"/>
    <col min="769" max="769" width="7" style="3" customWidth="1"/>
    <col min="770" max="770" width="10.7109375" style="3" customWidth="1"/>
    <col min="771" max="771" width="10.28515625" style="3" customWidth="1"/>
    <col min="772" max="772" width="9.140625" style="3"/>
    <col min="773" max="773" width="11.42578125" style="3" customWidth="1"/>
    <col min="774" max="774" width="13.85546875" style="3" customWidth="1"/>
    <col min="775" max="1020" width="9.140625" style="3"/>
    <col min="1021" max="1021" width="3.5703125" style="3" bestFit="1" customWidth="1"/>
    <col min="1022" max="1022" width="28.7109375" style="3" customWidth="1"/>
    <col min="1023" max="1023" width="7.85546875" style="3" bestFit="1" customWidth="1"/>
    <col min="1024" max="1024" width="10.42578125" style="3" bestFit="1" customWidth="1"/>
    <col min="1025" max="1025" width="7" style="3" customWidth="1"/>
    <col min="1026" max="1026" width="10.7109375" style="3" customWidth="1"/>
    <col min="1027" max="1027" width="10.28515625" style="3" customWidth="1"/>
    <col min="1028" max="1028" width="9.140625" style="3"/>
    <col min="1029" max="1029" width="11.42578125" style="3" customWidth="1"/>
    <col min="1030" max="1030" width="13.85546875" style="3" customWidth="1"/>
    <col min="1031" max="1276" width="9.140625" style="3"/>
    <col min="1277" max="1277" width="3.5703125" style="3" bestFit="1" customWidth="1"/>
    <col min="1278" max="1278" width="28.7109375" style="3" customWidth="1"/>
    <col min="1279" max="1279" width="7.85546875" style="3" bestFit="1" customWidth="1"/>
    <col min="1280" max="1280" width="10.42578125" style="3" bestFit="1" customWidth="1"/>
    <col min="1281" max="1281" width="7" style="3" customWidth="1"/>
    <col min="1282" max="1282" width="10.7109375" style="3" customWidth="1"/>
    <col min="1283" max="1283" width="10.28515625" style="3" customWidth="1"/>
    <col min="1284" max="1284" width="9.140625" style="3"/>
    <col min="1285" max="1285" width="11.42578125" style="3" customWidth="1"/>
    <col min="1286" max="1286" width="13.85546875" style="3" customWidth="1"/>
    <col min="1287" max="1532" width="9.140625" style="3"/>
    <col min="1533" max="1533" width="3.5703125" style="3" bestFit="1" customWidth="1"/>
    <col min="1534" max="1534" width="28.7109375" style="3" customWidth="1"/>
    <col min="1535" max="1535" width="7.85546875" style="3" bestFit="1" customWidth="1"/>
    <col min="1536" max="1536" width="10.42578125" style="3" bestFit="1" customWidth="1"/>
    <col min="1537" max="1537" width="7" style="3" customWidth="1"/>
    <col min="1538" max="1538" width="10.7109375" style="3" customWidth="1"/>
    <col min="1539" max="1539" width="10.28515625" style="3" customWidth="1"/>
    <col min="1540" max="1540" width="9.140625" style="3"/>
    <col min="1541" max="1541" width="11.42578125" style="3" customWidth="1"/>
    <col min="1542" max="1542" width="13.85546875" style="3" customWidth="1"/>
    <col min="1543" max="1788" width="9.140625" style="3"/>
    <col min="1789" max="1789" width="3.5703125" style="3" bestFit="1" customWidth="1"/>
    <col min="1790" max="1790" width="28.7109375" style="3" customWidth="1"/>
    <col min="1791" max="1791" width="7.85546875" style="3" bestFit="1" customWidth="1"/>
    <col min="1792" max="1792" width="10.42578125" style="3" bestFit="1" customWidth="1"/>
    <col min="1793" max="1793" width="7" style="3" customWidth="1"/>
    <col min="1794" max="1794" width="10.7109375" style="3" customWidth="1"/>
    <col min="1795" max="1795" width="10.28515625" style="3" customWidth="1"/>
    <col min="1796" max="1796" width="9.140625" style="3"/>
    <col min="1797" max="1797" width="11.42578125" style="3" customWidth="1"/>
    <col min="1798" max="1798" width="13.85546875" style="3" customWidth="1"/>
    <col min="1799" max="2044" width="9.140625" style="3"/>
    <col min="2045" max="2045" width="3.5703125" style="3" bestFit="1" customWidth="1"/>
    <col min="2046" max="2046" width="28.7109375" style="3" customWidth="1"/>
    <col min="2047" max="2047" width="7.85546875" style="3" bestFit="1" customWidth="1"/>
    <col min="2048" max="2048" width="10.42578125" style="3" bestFit="1" customWidth="1"/>
    <col min="2049" max="2049" width="7" style="3" customWidth="1"/>
    <col min="2050" max="2050" width="10.7109375" style="3" customWidth="1"/>
    <col min="2051" max="2051" width="10.28515625" style="3" customWidth="1"/>
    <col min="2052" max="2052" width="9.140625" style="3"/>
    <col min="2053" max="2053" width="11.42578125" style="3" customWidth="1"/>
    <col min="2054" max="2054" width="13.85546875" style="3" customWidth="1"/>
    <col min="2055" max="2300" width="9.140625" style="3"/>
    <col min="2301" max="2301" width="3.5703125" style="3" bestFit="1" customWidth="1"/>
    <col min="2302" max="2302" width="28.7109375" style="3" customWidth="1"/>
    <col min="2303" max="2303" width="7.85546875" style="3" bestFit="1" customWidth="1"/>
    <col min="2304" max="2304" width="10.42578125" style="3" bestFit="1" customWidth="1"/>
    <col min="2305" max="2305" width="7" style="3" customWidth="1"/>
    <col min="2306" max="2306" width="10.7109375" style="3" customWidth="1"/>
    <col min="2307" max="2307" width="10.28515625" style="3" customWidth="1"/>
    <col min="2308" max="2308" width="9.140625" style="3"/>
    <col min="2309" max="2309" width="11.42578125" style="3" customWidth="1"/>
    <col min="2310" max="2310" width="13.85546875" style="3" customWidth="1"/>
    <col min="2311" max="2556" width="9.140625" style="3"/>
    <col min="2557" max="2557" width="3.5703125" style="3" bestFit="1" customWidth="1"/>
    <col min="2558" max="2558" width="28.7109375" style="3" customWidth="1"/>
    <col min="2559" max="2559" width="7.85546875" style="3" bestFit="1" customWidth="1"/>
    <col min="2560" max="2560" width="10.42578125" style="3" bestFit="1" customWidth="1"/>
    <col min="2561" max="2561" width="7" style="3" customWidth="1"/>
    <col min="2562" max="2562" width="10.7109375" style="3" customWidth="1"/>
    <col min="2563" max="2563" width="10.28515625" style="3" customWidth="1"/>
    <col min="2564" max="2564" width="9.140625" style="3"/>
    <col min="2565" max="2565" width="11.42578125" style="3" customWidth="1"/>
    <col min="2566" max="2566" width="13.85546875" style="3" customWidth="1"/>
    <col min="2567" max="2812" width="9.140625" style="3"/>
    <col min="2813" max="2813" width="3.5703125" style="3" bestFit="1" customWidth="1"/>
    <col min="2814" max="2814" width="28.7109375" style="3" customWidth="1"/>
    <col min="2815" max="2815" width="7.85546875" style="3" bestFit="1" customWidth="1"/>
    <col min="2816" max="2816" width="10.42578125" style="3" bestFit="1" customWidth="1"/>
    <col min="2817" max="2817" width="7" style="3" customWidth="1"/>
    <col min="2818" max="2818" width="10.7109375" style="3" customWidth="1"/>
    <col min="2819" max="2819" width="10.28515625" style="3" customWidth="1"/>
    <col min="2820" max="2820" width="9.140625" style="3"/>
    <col min="2821" max="2821" width="11.42578125" style="3" customWidth="1"/>
    <col min="2822" max="2822" width="13.85546875" style="3" customWidth="1"/>
    <col min="2823" max="3068" width="9.140625" style="3"/>
    <col min="3069" max="3069" width="3.5703125" style="3" bestFit="1" customWidth="1"/>
    <col min="3070" max="3070" width="28.7109375" style="3" customWidth="1"/>
    <col min="3071" max="3071" width="7.85546875" style="3" bestFit="1" customWidth="1"/>
    <col min="3072" max="3072" width="10.42578125" style="3" bestFit="1" customWidth="1"/>
    <col min="3073" max="3073" width="7" style="3" customWidth="1"/>
    <col min="3074" max="3074" width="10.7109375" style="3" customWidth="1"/>
    <col min="3075" max="3075" width="10.28515625" style="3" customWidth="1"/>
    <col min="3076" max="3076" width="9.140625" style="3"/>
    <col min="3077" max="3077" width="11.42578125" style="3" customWidth="1"/>
    <col min="3078" max="3078" width="13.85546875" style="3" customWidth="1"/>
    <col min="3079" max="3324" width="9.140625" style="3"/>
    <col min="3325" max="3325" width="3.5703125" style="3" bestFit="1" customWidth="1"/>
    <col min="3326" max="3326" width="28.7109375" style="3" customWidth="1"/>
    <col min="3327" max="3327" width="7.85546875" style="3" bestFit="1" customWidth="1"/>
    <col min="3328" max="3328" width="10.42578125" style="3" bestFit="1" customWidth="1"/>
    <col min="3329" max="3329" width="7" style="3" customWidth="1"/>
    <col min="3330" max="3330" width="10.7109375" style="3" customWidth="1"/>
    <col min="3331" max="3331" width="10.28515625" style="3" customWidth="1"/>
    <col min="3332" max="3332" width="9.140625" style="3"/>
    <col min="3333" max="3333" width="11.42578125" style="3" customWidth="1"/>
    <col min="3334" max="3334" width="13.85546875" style="3" customWidth="1"/>
    <col min="3335" max="3580" width="9.140625" style="3"/>
    <col min="3581" max="3581" width="3.5703125" style="3" bestFit="1" customWidth="1"/>
    <col min="3582" max="3582" width="28.7109375" style="3" customWidth="1"/>
    <col min="3583" max="3583" width="7.85546875" style="3" bestFit="1" customWidth="1"/>
    <col min="3584" max="3584" width="10.42578125" style="3" bestFit="1" customWidth="1"/>
    <col min="3585" max="3585" width="7" style="3" customWidth="1"/>
    <col min="3586" max="3586" width="10.7109375" style="3" customWidth="1"/>
    <col min="3587" max="3587" width="10.28515625" style="3" customWidth="1"/>
    <col min="3588" max="3588" width="9.140625" style="3"/>
    <col min="3589" max="3589" width="11.42578125" style="3" customWidth="1"/>
    <col min="3590" max="3590" width="13.85546875" style="3" customWidth="1"/>
    <col min="3591" max="3836" width="9.140625" style="3"/>
    <col min="3837" max="3837" width="3.5703125" style="3" bestFit="1" customWidth="1"/>
    <col min="3838" max="3838" width="28.7109375" style="3" customWidth="1"/>
    <col min="3839" max="3839" width="7.85546875" style="3" bestFit="1" customWidth="1"/>
    <col min="3840" max="3840" width="10.42578125" style="3" bestFit="1" customWidth="1"/>
    <col min="3841" max="3841" width="7" style="3" customWidth="1"/>
    <col min="3842" max="3842" width="10.7109375" style="3" customWidth="1"/>
    <col min="3843" max="3843" width="10.28515625" style="3" customWidth="1"/>
    <col min="3844" max="3844" width="9.140625" style="3"/>
    <col min="3845" max="3845" width="11.42578125" style="3" customWidth="1"/>
    <col min="3846" max="3846" width="13.85546875" style="3" customWidth="1"/>
    <col min="3847" max="4092" width="9.140625" style="3"/>
    <col min="4093" max="4093" width="3.5703125" style="3" bestFit="1" customWidth="1"/>
    <col min="4094" max="4094" width="28.7109375" style="3" customWidth="1"/>
    <col min="4095" max="4095" width="7.85546875" style="3" bestFit="1" customWidth="1"/>
    <col min="4096" max="4096" width="10.42578125" style="3" bestFit="1" customWidth="1"/>
    <col min="4097" max="4097" width="7" style="3" customWidth="1"/>
    <col min="4098" max="4098" width="10.7109375" style="3" customWidth="1"/>
    <col min="4099" max="4099" width="10.28515625" style="3" customWidth="1"/>
    <col min="4100" max="4100" width="9.140625" style="3"/>
    <col min="4101" max="4101" width="11.42578125" style="3" customWidth="1"/>
    <col min="4102" max="4102" width="13.85546875" style="3" customWidth="1"/>
    <col min="4103" max="4348" width="9.140625" style="3"/>
    <col min="4349" max="4349" width="3.5703125" style="3" bestFit="1" customWidth="1"/>
    <col min="4350" max="4350" width="28.7109375" style="3" customWidth="1"/>
    <col min="4351" max="4351" width="7.85546875" style="3" bestFit="1" customWidth="1"/>
    <col min="4352" max="4352" width="10.42578125" style="3" bestFit="1" customWidth="1"/>
    <col min="4353" max="4353" width="7" style="3" customWidth="1"/>
    <col min="4354" max="4354" width="10.7109375" style="3" customWidth="1"/>
    <col min="4355" max="4355" width="10.28515625" style="3" customWidth="1"/>
    <col min="4356" max="4356" width="9.140625" style="3"/>
    <col min="4357" max="4357" width="11.42578125" style="3" customWidth="1"/>
    <col min="4358" max="4358" width="13.85546875" style="3" customWidth="1"/>
    <col min="4359" max="4604" width="9.140625" style="3"/>
    <col min="4605" max="4605" width="3.5703125" style="3" bestFit="1" customWidth="1"/>
    <col min="4606" max="4606" width="28.7109375" style="3" customWidth="1"/>
    <col min="4607" max="4607" width="7.85546875" style="3" bestFit="1" customWidth="1"/>
    <col min="4608" max="4608" width="10.42578125" style="3" bestFit="1" customWidth="1"/>
    <col min="4609" max="4609" width="7" style="3" customWidth="1"/>
    <col min="4610" max="4610" width="10.7109375" style="3" customWidth="1"/>
    <col min="4611" max="4611" width="10.28515625" style="3" customWidth="1"/>
    <col min="4612" max="4612" width="9.140625" style="3"/>
    <col min="4613" max="4613" width="11.42578125" style="3" customWidth="1"/>
    <col min="4614" max="4614" width="13.85546875" style="3" customWidth="1"/>
    <col min="4615" max="4860" width="9.140625" style="3"/>
    <col min="4861" max="4861" width="3.5703125" style="3" bestFit="1" customWidth="1"/>
    <col min="4862" max="4862" width="28.7109375" style="3" customWidth="1"/>
    <col min="4863" max="4863" width="7.85546875" style="3" bestFit="1" customWidth="1"/>
    <col min="4864" max="4864" width="10.42578125" style="3" bestFit="1" customWidth="1"/>
    <col min="4865" max="4865" width="7" style="3" customWidth="1"/>
    <col min="4866" max="4866" width="10.7109375" style="3" customWidth="1"/>
    <col min="4867" max="4867" width="10.28515625" style="3" customWidth="1"/>
    <col min="4868" max="4868" width="9.140625" style="3"/>
    <col min="4869" max="4869" width="11.42578125" style="3" customWidth="1"/>
    <col min="4870" max="4870" width="13.85546875" style="3" customWidth="1"/>
    <col min="4871" max="5116" width="9.140625" style="3"/>
    <col min="5117" max="5117" width="3.5703125" style="3" bestFit="1" customWidth="1"/>
    <col min="5118" max="5118" width="28.7109375" style="3" customWidth="1"/>
    <col min="5119" max="5119" width="7.85546875" style="3" bestFit="1" customWidth="1"/>
    <col min="5120" max="5120" width="10.42578125" style="3" bestFit="1" customWidth="1"/>
    <col min="5121" max="5121" width="7" style="3" customWidth="1"/>
    <col min="5122" max="5122" width="10.7109375" style="3" customWidth="1"/>
    <col min="5123" max="5123" width="10.28515625" style="3" customWidth="1"/>
    <col min="5124" max="5124" width="9.140625" style="3"/>
    <col min="5125" max="5125" width="11.42578125" style="3" customWidth="1"/>
    <col min="5126" max="5126" width="13.85546875" style="3" customWidth="1"/>
    <col min="5127" max="5372" width="9.140625" style="3"/>
    <col min="5373" max="5373" width="3.5703125" style="3" bestFit="1" customWidth="1"/>
    <col min="5374" max="5374" width="28.7109375" style="3" customWidth="1"/>
    <col min="5375" max="5375" width="7.85546875" style="3" bestFit="1" customWidth="1"/>
    <col min="5376" max="5376" width="10.42578125" style="3" bestFit="1" customWidth="1"/>
    <col min="5377" max="5377" width="7" style="3" customWidth="1"/>
    <col min="5378" max="5378" width="10.7109375" style="3" customWidth="1"/>
    <col min="5379" max="5379" width="10.28515625" style="3" customWidth="1"/>
    <col min="5380" max="5380" width="9.140625" style="3"/>
    <col min="5381" max="5381" width="11.42578125" style="3" customWidth="1"/>
    <col min="5382" max="5382" width="13.85546875" style="3" customWidth="1"/>
    <col min="5383" max="5628" width="9.140625" style="3"/>
    <col min="5629" max="5629" width="3.5703125" style="3" bestFit="1" customWidth="1"/>
    <col min="5630" max="5630" width="28.7109375" style="3" customWidth="1"/>
    <col min="5631" max="5631" width="7.85546875" style="3" bestFit="1" customWidth="1"/>
    <col min="5632" max="5632" width="10.42578125" style="3" bestFit="1" customWidth="1"/>
    <col min="5633" max="5633" width="7" style="3" customWidth="1"/>
    <col min="5634" max="5634" width="10.7109375" style="3" customWidth="1"/>
    <col min="5635" max="5635" width="10.28515625" style="3" customWidth="1"/>
    <col min="5636" max="5636" width="9.140625" style="3"/>
    <col min="5637" max="5637" width="11.42578125" style="3" customWidth="1"/>
    <col min="5638" max="5638" width="13.85546875" style="3" customWidth="1"/>
    <col min="5639" max="5884" width="9.140625" style="3"/>
    <col min="5885" max="5885" width="3.5703125" style="3" bestFit="1" customWidth="1"/>
    <col min="5886" max="5886" width="28.7109375" style="3" customWidth="1"/>
    <col min="5887" max="5887" width="7.85546875" style="3" bestFit="1" customWidth="1"/>
    <col min="5888" max="5888" width="10.42578125" style="3" bestFit="1" customWidth="1"/>
    <col min="5889" max="5889" width="7" style="3" customWidth="1"/>
    <col min="5890" max="5890" width="10.7109375" style="3" customWidth="1"/>
    <col min="5891" max="5891" width="10.28515625" style="3" customWidth="1"/>
    <col min="5892" max="5892" width="9.140625" style="3"/>
    <col min="5893" max="5893" width="11.42578125" style="3" customWidth="1"/>
    <col min="5894" max="5894" width="13.85546875" style="3" customWidth="1"/>
    <col min="5895" max="6140" width="9.140625" style="3"/>
    <col min="6141" max="6141" width="3.5703125" style="3" bestFit="1" customWidth="1"/>
    <col min="6142" max="6142" width="28.7109375" style="3" customWidth="1"/>
    <col min="6143" max="6143" width="7.85546875" style="3" bestFit="1" customWidth="1"/>
    <col min="6144" max="6144" width="10.42578125" style="3" bestFit="1" customWidth="1"/>
    <col min="6145" max="6145" width="7" style="3" customWidth="1"/>
    <col min="6146" max="6146" width="10.7109375" style="3" customWidth="1"/>
    <col min="6147" max="6147" width="10.28515625" style="3" customWidth="1"/>
    <col min="6148" max="6148" width="9.140625" style="3"/>
    <col min="6149" max="6149" width="11.42578125" style="3" customWidth="1"/>
    <col min="6150" max="6150" width="13.85546875" style="3" customWidth="1"/>
    <col min="6151" max="6396" width="9.140625" style="3"/>
    <col min="6397" max="6397" width="3.5703125" style="3" bestFit="1" customWidth="1"/>
    <col min="6398" max="6398" width="28.7109375" style="3" customWidth="1"/>
    <col min="6399" max="6399" width="7.85546875" style="3" bestFit="1" customWidth="1"/>
    <col min="6400" max="6400" width="10.42578125" style="3" bestFit="1" customWidth="1"/>
    <col min="6401" max="6401" width="7" style="3" customWidth="1"/>
    <col min="6402" max="6402" width="10.7109375" style="3" customWidth="1"/>
    <col min="6403" max="6403" width="10.28515625" style="3" customWidth="1"/>
    <col min="6404" max="6404" width="9.140625" style="3"/>
    <col min="6405" max="6405" width="11.42578125" style="3" customWidth="1"/>
    <col min="6406" max="6406" width="13.85546875" style="3" customWidth="1"/>
    <col min="6407" max="6652" width="9.140625" style="3"/>
    <col min="6653" max="6653" width="3.5703125" style="3" bestFit="1" customWidth="1"/>
    <col min="6654" max="6654" width="28.7109375" style="3" customWidth="1"/>
    <col min="6655" max="6655" width="7.85546875" style="3" bestFit="1" customWidth="1"/>
    <col min="6656" max="6656" width="10.42578125" style="3" bestFit="1" customWidth="1"/>
    <col min="6657" max="6657" width="7" style="3" customWidth="1"/>
    <col min="6658" max="6658" width="10.7109375" style="3" customWidth="1"/>
    <col min="6659" max="6659" width="10.28515625" style="3" customWidth="1"/>
    <col min="6660" max="6660" width="9.140625" style="3"/>
    <col min="6661" max="6661" width="11.42578125" style="3" customWidth="1"/>
    <col min="6662" max="6662" width="13.85546875" style="3" customWidth="1"/>
    <col min="6663" max="6908" width="9.140625" style="3"/>
    <col min="6909" max="6909" width="3.5703125" style="3" bestFit="1" customWidth="1"/>
    <col min="6910" max="6910" width="28.7109375" style="3" customWidth="1"/>
    <col min="6911" max="6911" width="7.85546875" style="3" bestFit="1" customWidth="1"/>
    <col min="6912" max="6912" width="10.42578125" style="3" bestFit="1" customWidth="1"/>
    <col min="6913" max="6913" width="7" style="3" customWidth="1"/>
    <col min="6914" max="6914" width="10.7109375" style="3" customWidth="1"/>
    <col min="6915" max="6915" width="10.28515625" style="3" customWidth="1"/>
    <col min="6916" max="6916" width="9.140625" style="3"/>
    <col min="6917" max="6917" width="11.42578125" style="3" customWidth="1"/>
    <col min="6918" max="6918" width="13.85546875" style="3" customWidth="1"/>
    <col min="6919" max="7164" width="9.140625" style="3"/>
    <col min="7165" max="7165" width="3.5703125" style="3" bestFit="1" customWidth="1"/>
    <col min="7166" max="7166" width="28.7109375" style="3" customWidth="1"/>
    <col min="7167" max="7167" width="7.85546875" style="3" bestFit="1" customWidth="1"/>
    <col min="7168" max="7168" width="10.42578125" style="3" bestFit="1" customWidth="1"/>
    <col min="7169" max="7169" width="7" style="3" customWidth="1"/>
    <col min="7170" max="7170" width="10.7109375" style="3" customWidth="1"/>
    <col min="7171" max="7171" width="10.28515625" style="3" customWidth="1"/>
    <col min="7172" max="7172" width="9.140625" style="3"/>
    <col min="7173" max="7173" width="11.42578125" style="3" customWidth="1"/>
    <col min="7174" max="7174" width="13.85546875" style="3" customWidth="1"/>
    <col min="7175" max="7420" width="9.140625" style="3"/>
    <col min="7421" max="7421" width="3.5703125" style="3" bestFit="1" customWidth="1"/>
    <col min="7422" max="7422" width="28.7109375" style="3" customWidth="1"/>
    <col min="7423" max="7423" width="7.85546875" style="3" bestFit="1" customWidth="1"/>
    <col min="7424" max="7424" width="10.42578125" style="3" bestFit="1" customWidth="1"/>
    <col min="7425" max="7425" width="7" style="3" customWidth="1"/>
    <col min="7426" max="7426" width="10.7109375" style="3" customWidth="1"/>
    <col min="7427" max="7427" width="10.28515625" style="3" customWidth="1"/>
    <col min="7428" max="7428" width="9.140625" style="3"/>
    <col min="7429" max="7429" width="11.42578125" style="3" customWidth="1"/>
    <col min="7430" max="7430" width="13.85546875" style="3" customWidth="1"/>
    <col min="7431" max="7676" width="9.140625" style="3"/>
    <col min="7677" max="7677" width="3.5703125" style="3" bestFit="1" customWidth="1"/>
    <col min="7678" max="7678" width="28.7109375" style="3" customWidth="1"/>
    <col min="7679" max="7679" width="7.85546875" style="3" bestFit="1" customWidth="1"/>
    <col min="7680" max="7680" width="10.42578125" style="3" bestFit="1" customWidth="1"/>
    <col min="7681" max="7681" width="7" style="3" customWidth="1"/>
    <col min="7682" max="7682" width="10.7109375" style="3" customWidth="1"/>
    <col min="7683" max="7683" width="10.28515625" style="3" customWidth="1"/>
    <col min="7684" max="7684" width="9.140625" style="3"/>
    <col min="7685" max="7685" width="11.42578125" style="3" customWidth="1"/>
    <col min="7686" max="7686" width="13.85546875" style="3" customWidth="1"/>
    <col min="7687" max="7932" width="9.140625" style="3"/>
    <col min="7933" max="7933" width="3.5703125" style="3" bestFit="1" customWidth="1"/>
    <col min="7934" max="7934" width="28.7109375" style="3" customWidth="1"/>
    <col min="7935" max="7935" width="7.85546875" style="3" bestFit="1" customWidth="1"/>
    <col min="7936" max="7936" width="10.42578125" style="3" bestFit="1" customWidth="1"/>
    <col min="7937" max="7937" width="7" style="3" customWidth="1"/>
    <col min="7938" max="7938" width="10.7109375" style="3" customWidth="1"/>
    <col min="7939" max="7939" width="10.28515625" style="3" customWidth="1"/>
    <col min="7940" max="7940" width="9.140625" style="3"/>
    <col min="7941" max="7941" width="11.42578125" style="3" customWidth="1"/>
    <col min="7942" max="7942" width="13.85546875" style="3" customWidth="1"/>
    <col min="7943" max="8188" width="9.140625" style="3"/>
    <col min="8189" max="8189" width="3.5703125" style="3" bestFit="1" customWidth="1"/>
    <col min="8190" max="8190" width="28.7109375" style="3" customWidth="1"/>
    <col min="8191" max="8191" width="7.85546875" style="3" bestFit="1" customWidth="1"/>
    <col min="8192" max="8192" width="10.42578125" style="3" bestFit="1" customWidth="1"/>
    <col min="8193" max="8193" width="7" style="3" customWidth="1"/>
    <col min="8194" max="8194" width="10.7109375" style="3" customWidth="1"/>
    <col min="8195" max="8195" width="10.28515625" style="3" customWidth="1"/>
    <col min="8196" max="8196" width="9.140625" style="3"/>
    <col min="8197" max="8197" width="11.42578125" style="3" customWidth="1"/>
    <col min="8198" max="8198" width="13.85546875" style="3" customWidth="1"/>
    <col min="8199" max="8444" width="9.140625" style="3"/>
    <col min="8445" max="8445" width="3.5703125" style="3" bestFit="1" customWidth="1"/>
    <col min="8446" max="8446" width="28.7109375" style="3" customWidth="1"/>
    <col min="8447" max="8447" width="7.85546875" style="3" bestFit="1" customWidth="1"/>
    <col min="8448" max="8448" width="10.42578125" style="3" bestFit="1" customWidth="1"/>
    <col min="8449" max="8449" width="7" style="3" customWidth="1"/>
    <col min="8450" max="8450" width="10.7109375" style="3" customWidth="1"/>
    <col min="8451" max="8451" width="10.28515625" style="3" customWidth="1"/>
    <col min="8452" max="8452" width="9.140625" style="3"/>
    <col min="8453" max="8453" width="11.42578125" style="3" customWidth="1"/>
    <col min="8454" max="8454" width="13.85546875" style="3" customWidth="1"/>
    <col min="8455" max="8700" width="9.140625" style="3"/>
    <col min="8701" max="8701" width="3.5703125" style="3" bestFit="1" customWidth="1"/>
    <col min="8702" max="8702" width="28.7109375" style="3" customWidth="1"/>
    <col min="8703" max="8703" width="7.85546875" style="3" bestFit="1" customWidth="1"/>
    <col min="8704" max="8704" width="10.42578125" style="3" bestFit="1" customWidth="1"/>
    <col min="8705" max="8705" width="7" style="3" customWidth="1"/>
    <col min="8706" max="8706" width="10.7109375" style="3" customWidth="1"/>
    <col min="8707" max="8707" width="10.28515625" style="3" customWidth="1"/>
    <col min="8708" max="8708" width="9.140625" style="3"/>
    <col min="8709" max="8709" width="11.42578125" style="3" customWidth="1"/>
    <col min="8710" max="8710" width="13.85546875" style="3" customWidth="1"/>
    <col min="8711" max="8956" width="9.140625" style="3"/>
    <col min="8957" max="8957" width="3.5703125" style="3" bestFit="1" customWidth="1"/>
    <col min="8958" max="8958" width="28.7109375" style="3" customWidth="1"/>
    <col min="8959" max="8959" width="7.85546875" style="3" bestFit="1" customWidth="1"/>
    <col min="8960" max="8960" width="10.42578125" style="3" bestFit="1" customWidth="1"/>
    <col min="8961" max="8961" width="7" style="3" customWidth="1"/>
    <col min="8962" max="8962" width="10.7109375" style="3" customWidth="1"/>
    <col min="8963" max="8963" width="10.28515625" style="3" customWidth="1"/>
    <col min="8964" max="8964" width="9.140625" style="3"/>
    <col min="8965" max="8965" width="11.42578125" style="3" customWidth="1"/>
    <col min="8966" max="8966" width="13.85546875" style="3" customWidth="1"/>
    <col min="8967" max="9212" width="9.140625" style="3"/>
    <col min="9213" max="9213" width="3.5703125" style="3" bestFit="1" customWidth="1"/>
    <col min="9214" max="9214" width="28.7109375" style="3" customWidth="1"/>
    <col min="9215" max="9215" width="7.85546875" style="3" bestFit="1" customWidth="1"/>
    <col min="9216" max="9216" width="10.42578125" style="3" bestFit="1" customWidth="1"/>
    <col min="9217" max="9217" width="7" style="3" customWidth="1"/>
    <col min="9218" max="9218" width="10.7109375" style="3" customWidth="1"/>
    <col min="9219" max="9219" width="10.28515625" style="3" customWidth="1"/>
    <col min="9220" max="9220" width="9.140625" style="3"/>
    <col min="9221" max="9221" width="11.42578125" style="3" customWidth="1"/>
    <col min="9222" max="9222" width="13.85546875" style="3" customWidth="1"/>
    <col min="9223" max="9468" width="9.140625" style="3"/>
    <col min="9469" max="9469" width="3.5703125" style="3" bestFit="1" customWidth="1"/>
    <col min="9470" max="9470" width="28.7109375" style="3" customWidth="1"/>
    <col min="9471" max="9471" width="7.85546875" style="3" bestFit="1" customWidth="1"/>
    <col min="9472" max="9472" width="10.42578125" style="3" bestFit="1" customWidth="1"/>
    <col min="9473" max="9473" width="7" style="3" customWidth="1"/>
    <col min="9474" max="9474" width="10.7109375" style="3" customWidth="1"/>
    <col min="9475" max="9475" width="10.28515625" style="3" customWidth="1"/>
    <col min="9476" max="9476" width="9.140625" style="3"/>
    <col min="9477" max="9477" width="11.42578125" style="3" customWidth="1"/>
    <col min="9478" max="9478" width="13.85546875" style="3" customWidth="1"/>
    <col min="9479" max="9724" width="9.140625" style="3"/>
    <col min="9725" max="9725" width="3.5703125" style="3" bestFit="1" customWidth="1"/>
    <col min="9726" max="9726" width="28.7109375" style="3" customWidth="1"/>
    <col min="9727" max="9727" width="7.85546875" style="3" bestFit="1" customWidth="1"/>
    <col min="9728" max="9728" width="10.42578125" style="3" bestFit="1" customWidth="1"/>
    <col min="9729" max="9729" width="7" style="3" customWidth="1"/>
    <col min="9730" max="9730" width="10.7109375" style="3" customWidth="1"/>
    <col min="9731" max="9731" width="10.28515625" style="3" customWidth="1"/>
    <col min="9732" max="9732" width="9.140625" style="3"/>
    <col min="9733" max="9733" width="11.42578125" style="3" customWidth="1"/>
    <col min="9734" max="9734" width="13.85546875" style="3" customWidth="1"/>
    <col min="9735" max="9980" width="9.140625" style="3"/>
    <col min="9981" max="9981" width="3.5703125" style="3" bestFit="1" customWidth="1"/>
    <col min="9982" max="9982" width="28.7109375" style="3" customWidth="1"/>
    <col min="9983" max="9983" width="7.85546875" style="3" bestFit="1" customWidth="1"/>
    <col min="9984" max="9984" width="10.42578125" style="3" bestFit="1" customWidth="1"/>
    <col min="9985" max="9985" width="7" style="3" customWidth="1"/>
    <col min="9986" max="9986" width="10.7109375" style="3" customWidth="1"/>
    <col min="9987" max="9987" width="10.28515625" style="3" customWidth="1"/>
    <col min="9988" max="9988" width="9.140625" style="3"/>
    <col min="9989" max="9989" width="11.42578125" style="3" customWidth="1"/>
    <col min="9990" max="9990" width="13.85546875" style="3" customWidth="1"/>
    <col min="9991" max="10236" width="9.140625" style="3"/>
    <col min="10237" max="10237" width="3.5703125" style="3" bestFit="1" customWidth="1"/>
    <col min="10238" max="10238" width="28.7109375" style="3" customWidth="1"/>
    <col min="10239" max="10239" width="7.85546875" style="3" bestFit="1" customWidth="1"/>
    <col min="10240" max="10240" width="10.42578125" style="3" bestFit="1" customWidth="1"/>
    <col min="10241" max="10241" width="7" style="3" customWidth="1"/>
    <col min="10242" max="10242" width="10.7109375" style="3" customWidth="1"/>
    <col min="10243" max="10243" width="10.28515625" style="3" customWidth="1"/>
    <col min="10244" max="10244" width="9.140625" style="3"/>
    <col min="10245" max="10245" width="11.42578125" style="3" customWidth="1"/>
    <col min="10246" max="10246" width="13.85546875" style="3" customWidth="1"/>
    <col min="10247" max="10492" width="9.140625" style="3"/>
    <col min="10493" max="10493" width="3.5703125" style="3" bestFit="1" customWidth="1"/>
    <col min="10494" max="10494" width="28.7109375" style="3" customWidth="1"/>
    <col min="10495" max="10495" width="7.85546875" style="3" bestFit="1" customWidth="1"/>
    <col min="10496" max="10496" width="10.42578125" style="3" bestFit="1" customWidth="1"/>
    <col min="10497" max="10497" width="7" style="3" customWidth="1"/>
    <col min="10498" max="10498" width="10.7109375" style="3" customWidth="1"/>
    <col min="10499" max="10499" width="10.28515625" style="3" customWidth="1"/>
    <col min="10500" max="10500" width="9.140625" style="3"/>
    <col min="10501" max="10501" width="11.42578125" style="3" customWidth="1"/>
    <col min="10502" max="10502" width="13.85546875" style="3" customWidth="1"/>
    <col min="10503" max="10748" width="9.140625" style="3"/>
    <col min="10749" max="10749" width="3.5703125" style="3" bestFit="1" customWidth="1"/>
    <col min="10750" max="10750" width="28.7109375" style="3" customWidth="1"/>
    <col min="10751" max="10751" width="7.85546875" style="3" bestFit="1" customWidth="1"/>
    <col min="10752" max="10752" width="10.42578125" style="3" bestFit="1" customWidth="1"/>
    <col min="10753" max="10753" width="7" style="3" customWidth="1"/>
    <col min="10754" max="10754" width="10.7109375" style="3" customWidth="1"/>
    <col min="10755" max="10755" width="10.28515625" style="3" customWidth="1"/>
    <col min="10756" max="10756" width="9.140625" style="3"/>
    <col min="10757" max="10757" width="11.42578125" style="3" customWidth="1"/>
    <col min="10758" max="10758" width="13.85546875" style="3" customWidth="1"/>
    <col min="10759" max="11004" width="9.140625" style="3"/>
    <col min="11005" max="11005" width="3.5703125" style="3" bestFit="1" customWidth="1"/>
    <col min="11006" max="11006" width="28.7109375" style="3" customWidth="1"/>
    <col min="11007" max="11007" width="7.85546875" style="3" bestFit="1" customWidth="1"/>
    <col min="11008" max="11008" width="10.42578125" style="3" bestFit="1" customWidth="1"/>
    <col min="11009" max="11009" width="7" style="3" customWidth="1"/>
    <col min="11010" max="11010" width="10.7109375" style="3" customWidth="1"/>
    <col min="11011" max="11011" width="10.28515625" style="3" customWidth="1"/>
    <col min="11012" max="11012" width="9.140625" style="3"/>
    <col min="11013" max="11013" width="11.42578125" style="3" customWidth="1"/>
    <col min="11014" max="11014" width="13.85546875" style="3" customWidth="1"/>
    <col min="11015" max="11260" width="9.140625" style="3"/>
    <col min="11261" max="11261" width="3.5703125" style="3" bestFit="1" customWidth="1"/>
    <col min="11262" max="11262" width="28.7109375" style="3" customWidth="1"/>
    <col min="11263" max="11263" width="7.85546875" style="3" bestFit="1" customWidth="1"/>
    <col min="11264" max="11264" width="10.42578125" style="3" bestFit="1" customWidth="1"/>
    <col min="11265" max="11265" width="7" style="3" customWidth="1"/>
    <col min="11266" max="11266" width="10.7109375" style="3" customWidth="1"/>
    <col min="11267" max="11267" width="10.28515625" style="3" customWidth="1"/>
    <col min="11268" max="11268" width="9.140625" style="3"/>
    <col min="11269" max="11269" width="11.42578125" style="3" customWidth="1"/>
    <col min="11270" max="11270" width="13.85546875" style="3" customWidth="1"/>
    <col min="11271" max="11516" width="9.140625" style="3"/>
    <col min="11517" max="11517" width="3.5703125" style="3" bestFit="1" customWidth="1"/>
    <col min="11518" max="11518" width="28.7109375" style="3" customWidth="1"/>
    <col min="11519" max="11519" width="7.85546875" style="3" bestFit="1" customWidth="1"/>
    <col min="11520" max="11520" width="10.42578125" style="3" bestFit="1" customWidth="1"/>
    <col min="11521" max="11521" width="7" style="3" customWidth="1"/>
    <col min="11522" max="11522" width="10.7109375" style="3" customWidth="1"/>
    <col min="11523" max="11523" width="10.28515625" style="3" customWidth="1"/>
    <col min="11524" max="11524" width="9.140625" style="3"/>
    <col min="11525" max="11525" width="11.42578125" style="3" customWidth="1"/>
    <col min="11526" max="11526" width="13.85546875" style="3" customWidth="1"/>
    <col min="11527" max="11772" width="9.140625" style="3"/>
    <col min="11773" max="11773" width="3.5703125" style="3" bestFit="1" customWidth="1"/>
    <col min="11774" max="11774" width="28.7109375" style="3" customWidth="1"/>
    <col min="11775" max="11775" width="7.85546875" style="3" bestFit="1" customWidth="1"/>
    <col min="11776" max="11776" width="10.42578125" style="3" bestFit="1" customWidth="1"/>
    <col min="11777" max="11777" width="7" style="3" customWidth="1"/>
    <col min="11778" max="11778" width="10.7109375" style="3" customWidth="1"/>
    <col min="11779" max="11779" width="10.28515625" style="3" customWidth="1"/>
    <col min="11780" max="11780" width="9.140625" style="3"/>
    <col min="11781" max="11781" width="11.42578125" style="3" customWidth="1"/>
    <col min="11782" max="11782" width="13.85546875" style="3" customWidth="1"/>
    <col min="11783" max="12028" width="9.140625" style="3"/>
    <col min="12029" max="12029" width="3.5703125" style="3" bestFit="1" customWidth="1"/>
    <col min="12030" max="12030" width="28.7109375" style="3" customWidth="1"/>
    <col min="12031" max="12031" width="7.85546875" style="3" bestFit="1" customWidth="1"/>
    <col min="12032" max="12032" width="10.42578125" style="3" bestFit="1" customWidth="1"/>
    <col min="12033" max="12033" width="7" style="3" customWidth="1"/>
    <col min="12034" max="12034" width="10.7109375" style="3" customWidth="1"/>
    <col min="12035" max="12035" width="10.28515625" style="3" customWidth="1"/>
    <col min="12036" max="12036" width="9.140625" style="3"/>
    <col min="12037" max="12037" width="11.42578125" style="3" customWidth="1"/>
    <col min="12038" max="12038" width="13.85546875" style="3" customWidth="1"/>
    <col min="12039" max="12284" width="9.140625" style="3"/>
    <col min="12285" max="12285" width="3.5703125" style="3" bestFit="1" customWidth="1"/>
    <col min="12286" max="12286" width="28.7109375" style="3" customWidth="1"/>
    <col min="12287" max="12287" width="7.85546875" style="3" bestFit="1" customWidth="1"/>
    <col min="12288" max="12288" width="10.42578125" style="3" bestFit="1" customWidth="1"/>
    <col min="12289" max="12289" width="7" style="3" customWidth="1"/>
    <col min="12290" max="12290" width="10.7109375" style="3" customWidth="1"/>
    <col min="12291" max="12291" width="10.28515625" style="3" customWidth="1"/>
    <col min="12292" max="12292" width="9.140625" style="3"/>
    <col min="12293" max="12293" width="11.42578125" style="3" customWidth="1"/>
    <col min="12294" max="12294" width="13.85546875" style="3" customWidth="1"/>
    <col min="12295" max="12540" width="9.140625" style="3"/>
    <col min="12541" max="12541" width="3.5703125" style="3" bestFit="1" customWidth="1"/>
    <col min="12542" max="12542" width="28.7109375" style="3" customWidth="1"/>
    <col min="12543" max="12543" width="7.85546875" style="3" bestFit="1" customWidth="1"/>
    <col min="12544" max="12544" width="10.42578125" style="3" bestFit="1" customWidth="1"/>
    <col min="12545" max="12545" width="7" style="3" customWidth="1"/>
    <col min="12546" max="12546" width="10.7109375" style="3" customWidth="1"/>
    <col min="12547" max="12547" width="10.28515625" style="3" customWidth="1"/>
    <col min="12548" max="12548" width="9.140625" style="3"/>
    <col min="12549" max="12549" width="11.42578125" style="3" customWidth="1"/>
    <col min="12550" max="12550" width="13.85546875" style="3" customWidth="1"/>
    <col min="12551" max="12796" width="9.140625" style="3"/>
    <col min="12797" max="12797" width="3.5703125" style="3" bestFit="1" customWidth="1"/>
    <col min="12798" max="12798" width="28.7109375" style="3" customWidth="1"/>
    <col min="12799" max="12799" width="7.85546875" style="3" bestFit="1" customWidth="1"/>
    <col min="12800" max="12800" width="10.42578125" style="3" bestFit="1" customWidth="1"/>
    <col min="12801" max="12801" width="7" style="3" customWidth="1"/>
    <col min="12802" max="12802" width="10.7109375" style="3" customWidth="1"/>
    <col min="12803" max="12803" width="10.28515625" style="3" customWidth="1"/>
    <col min="12804" max="12804" width="9.140625" style="3"/>
    <col min="12805" max="12805" width="11.42578125" style="3" customWidth="1"/>
    <col min="12806" max="12806" width="13.85546875" style="3" customWidth="1"/>
    <col min="12807" max="13052" width="9.140625" style="3"/>
    <col min="13053" max="13053" width="3.5703125" style="3" bestFit="1" customWidth="1"/>
    <col min="13054" max="13054" width="28.7109375" style="3" customWidth="1"/>
    <col min="13055" max="13055" width="7.85546875" style="3" bestFit="1" customWidth="1"/>
    <col min="13056" max="13056" width="10.42578125" style="3" bestFit="1" customWidth="1"/>
    <col min="13057" max="13057" width="7" style="3" customWidth="1"/>
    <col min="13058" max="13058" width="10.7109375" style="3" customWidth="1"/>
    <col min="13059" max="13059" width="10.28515625" style="3" customWidth="1"/>
    <col min="13060" max="13060" width="9.140625" style="3"/>
    <col min="13061" max="13061" width="11.42578125" style="3" customWidth="1"/>
    <col min="13062" max="13062" width="13.85546875" style="3" customWidth="1"/>
    <col min="13063" max="13308" width="9.140625" style="3"/>
    <col min="13309" max="13309" width="3.5703125" style="3" bestFit="1" customWidth="1"/>
    <col min="13310" max="13310" width="28.7109375" style="3" customWidth="1"/>
    <col min="13311" max="13311" width="7.85546875" style="3" bestFit="1" customWidth="1"/>
    <col min="13312" max="13312" width="10.42578125" style="3" bestFit="1" customWidth="1"/>
    <col min="13313" max="13313" width="7" style="3" customWidth="1"/>
    <col min="13314" max="13314" width="10.7109375" style="3" customWidth="1"/>
    <col min="13315" max="13315" width="10.28515625" style="3" customWidth="1"/>
    <col min="13316" max="13316" width="9.140625" style="3"/>
    <col min="13317" max="13317" width="11.42578125" style="3" customWidth="1"/>
    <col min="13318" max="13318" width="13.85546875" style="3" customWidth="1"/>
    <col min="13319" max="13564" width="9.140625" style="3"/>
    <col min="13565" max="13565" width="3.5703125" style="3" bestFit="1" customWidth="1"/>
    <col min="13566" max="13566" width="28.7109375" style="3" customWidth="1"/>
    <col min="13567" max="13567" width="7.85546875" style="3" bestFit="1" customWidth="1"/>
    <col min="13568" max="13568" width="10.42578125" style="3" bestFit="1" customWidth="1"/>
    <col min="13569" max="13569" width="7" style="3" customWidth="1"/>
    <col min="13570" max="13570" width="10.7109375" style="3" customWidth="1"/>
    <col min="13571" max="13571" width="10.28515625" style="3" customWidth="1"/>
    <col min="13572" max="13572" width="9.140625" style="3"/>
    <col min="13573" max="13573" width="11.42578125" style="3" customWidth="1"/>
    <col min="13574" max="13574" width="13.85546875" style="3" customWidth="1"/>
    <col min="13575" max="13820" width="9.140625" style="3"/>
    <col min="13821" max="13821" width="3.5703125" style="3" bestFit="1" customWidth="1"/>
    <col min="13822" max="13822" width="28.7109375" style="3" customWidth="1"/>
    <col min="13823" max="13823" width="7.85546875" style="3" bestFit="1" customWidth="1"/>
    <col min="13824" max="13824" width="10.42578125" style="3" bestFit="1" customWidth="1"/>
    <col min="13825" max="13825" width="7" style="3" customWidth="1"/>
    <col min="13826" max="13826" width="10.7109375" style="3" customWidth="1"/>
    <col min="13827" max="13827" width="10.28515625" style="3" customWidth="1"/>
    <col min="13828" max="13828" width="9.140625" style="3"/>
    <col min="13829" max="13829" width="11.42578125" style="3" customWidth="1"/>
    <col min="13830" max="13830" width="13.85546875" style="3" customWidth="1"/>
    <col min="13831" max="14076" width="9.140625" style="3"/>
    <col min="14077" max="14077" width="3.5703125" style="3" bestFit="1" customWidth="1"/>
    <col min="14078" max="14078" width="28.7109375" style="3" customWidth="1"/>
    <col min="14079" max="14079" width="7.85546875" style="3" bestFit="1" customWidth="1"/>
    <col min="14080" max="14080" width="10.42578125" style="3" bestFit="1" customWidth="1"/>
    <col min="14081" max="14081" width="7" style="3" customWidth="1"/>
    <col min="14082" max="14082" width="10.7109375" style="3" customWidth="1"/>
    <col min="14083" max="14083" width="10.28515625" style="3" customWidth="1"/>
    <col min="14084" max="14084" width="9.140625" style="3"/>
    <col min="14085" max="14085" width="11.42578125" style="3" customWidth="1"/>
    <col min="14086" max="14086" width="13.85546875" style="3" customWidth="1"/>
    <col min="14087" max="14332" width="9.140625" style="3"/>
    <col min="14333" max="14333" width="3.5703125" style="3" bestFit="1" customWidth="1"/>
    <col min="14334" max="14334" width="28.7109375" style="3" customWidth="1"/>
    <col min="14335" max="14335" width="7.85546875" style="3" bestFit="1" customWidth="1"/>
    <col min="14336" max="14336" width="10.42578125" style="3" bestFit="1" customWidth="1"/>
    <col min="14337" max="14337" width="7" style="3" customWidth="1"/>
    <col min="14338" max="14338" width="10.7109375" style="3" customWidth="1"/>
    <col min="14339" max="14339" width="10.28515625" style="3" customWidth="1"/>
    <col min="14340" max="14340" width="9.140625" style="3"/>
    <col min="14341" max="14341" width="11.42578125" style="3" customWidth="1"/>
    <col min="14342" max="14342" width="13.85546875" style="3" customWidth="1"/>
    <col min="14343" max="14588" width="9.140625" style="3"/>
    <col min="14589" max="14589" width="3.5703125" style="3" bestFit="1" customWidth="1"/>
    <col min="14590" max="14590" width="28.7109375" style="3" customWidth="1"/>
    <col min="14591" max="14591" width="7.85546875" style="3" bestFit="1" customWidth="1"/>
    <col min="14592" max="14592" width="10.42578125" style="3" bestFit="1" customWidth="1"/>
    <col min="14593" max="14593" width="7" style="3" customWidth="1"/>
    <col min="14594" max="14594" width="10.7109375" style="3" customWidth="1"/>
    <col min="14595" max="14595" width="10.28515625" style="3" customWidth="1"/>
    <col min="14596" max="14596" width="9.140625" style="3"/>
    <col min="14597" max="14597" width="11.42578125" style="3" customWidth="1"/>
    <col min="14598" max="14598" width="13.85546875" style="3" customWidth="1"/>
    <col min="14599" max="14844" width="9.140625" style="3"/>
    <col min="14845" max="14845" width="3.5703125" style="3" bestFit="1" customWidth="1"/>
    <col min="14846" max="14846" width="28.7109375" style="3" customWidth="1"/>
    <col min="14847" max="14847" width="7.85546875" style="3" bestFit="1" customWidth="1"/>
    <col min="14848" max="14848" width="10.42578125" style="3" bestFit="1" customWidth="1"/>
    <col min="14849" max="14849" width="7" style="3" customWidth="1"/>
    <col min="14850" max="14850" width="10.7109375" style="3" customWidth="1"/>
    <col min="14851" max="14851" width="10.28515625" style="3" customWidth="1"/>
    <col min="14852" max="14852" width="9.140625" style="3"/>
    <col min="14853" max="14853" width="11.42578125" style="3" customWidth="1"/>
    <col min="14854" max="14854" width="13.85546875" style="3" customWidth="1"/>
    <col min="14855" max="15100" width="9.140625" style="3"/>
    <col min="15101" max="15101" width="3.5703125" style="3" bestFit="1" customWidth="1"/>
    <col min="15102" max="15102" width="28.7109375" style="3" customWidth="1"/>
    <col min="15103" max="15103" width="7.85546875" style="3" bestFit="1" customWidth="1"/>
    <col min="15104" max="15104" width="10.42578125" style="3" bestFit="1" customWidth="1"/>
    <col min="15105" max="15105" width="7" style="3" customWidth="1"/>
    <col min="15106" max="15106" width="10.7109375" style="3" customWidth="1"/>
    <col min="15107" max="15107" width="10.28515625" style="3" customWidth="1"/>
    <col min="15108" max="15108" width="9.140625" style="3"/>
    <col min="15109" max="15109" width="11.42578125" style="3" customWidth="1"/>
    <col min="15110" max="15110" width="13.85546875" style="3" customWidth="1"/>
    <col min="15111" max="15356" width="9.140625" style="3"/>
    <col min="15357" max="15357" width="3.5703125" style="3" bestFit="1" customWidth="1"/>
    <col min="15358" max="15358" width="28.7109375" style="3" customWidth="1"/>
    <col min="15359" max="15359" width="7.85546875" style="3" bestFit="1" customWidth="1"/>
    <col min="15360" max="15360" width="10.42578125" style="3" bestFit="1" customWidth="1"/>
    <col min="15361" max="15361" width="7" style="3" customWidth="1"/>
    <col min="15362" max="15362" width="10.7109375" style="3" customWidth="1"/>
    <col min="15363" max="15363" width="10.28515625" style="3" customWidth="1"/>
    <col min="15364" max="15364" width="9.140625" style="3"/>
    <col min="15365" max="15365" width="11.42578125" style="3" customWidth="1"/>
    <col min="15366" max="15366" width="13.85546875" style="3" customWidth="1"/>
    <col min="15367" max="15612" width="9.140625" style="3"/>
    <col min="15613" max="15613" width="3.5703125" style="3" bestFit="1" customWidth="1"/>
    <col min="15614" max="15614" width="28.7109375" style="3" customWidth="1"/>
    <col min="15615" max="15615" width="7.85546875" style="3" bestFit="1" customWidth="1"/>
    <col min="15616" max="15616" width="10.42578125" style="3" bestFit="1" customWidth="1"/>
    <col min="15617" max="15617" width="7" style="3" customWidth="1"/>
    <col min="15618" max="15618" width="10.7109375" style="3" customWidth="1"/>
    <col min="15619" max="15619" width="10.28515625" style="3" customWidth="1"/>
    <col min="15620" max="15620" width="9.140625" style="3"/>
    <col min="15621" max="15621" width="11.42578125" style="3" customWidth="1"/>
    <col min="15622" max="15622" width="13.85546875" style="3" customWidth="1"/>
    <col min="15623" max="15868" width="9.140625" style="3"/>
    <col min="15869" max="15869" width="3.5703125" style="3" bestFit="1" customWidth="1"/>
    <col min="15870" max="15870" width="28.7109375" style="3" customWidth="1"/>
    <col min="15871" max="15871" width="7.85546875" style="3" bestFit="1" customWidth="1"/>
    <col min="15872" max="15872" width="10.42578125" style="3" bestFit="1" customWidth="1"/>
    <col min="15873" max="15873" width="7" style="3" customWidth="1"/>
    <col min="15874" max="15874" width="10.7109375" style="3" customWidth="1"/>
    <col min="15875" max="15875" width="10.28515625" style="3" customWidth="1"/>
    <col min="15876" max="15876" width="9.140625" style="3"/>
    <col min="15877" max="15877" width="11.42578125" style="3" customWidth="1"/>
    <col min="15878" max="15878" width="13.85546875" style="3" customWidth="1"/>
    <col min="15879" max="16124" width="9.140625" style="3"/>
    <col min="16125" max="16125" width="3.5703125" style="3" bestFit="1" customWidth="1"/>
    <col min="16126" max="16126" width="28.7109375" style="3" customWidth="1"/>
    <col min="16127" max="16127" width="7.85546875" style="3" bestFit="1" customWidth="1"/>
    <col min="16128" max="16128" width="10.42578125" style="3" bestFit="1" customWidth="1"/>
    <col min="16129" max="16129" width="7" style="3" customWidth="1"/>
    <col min="16130" max="16130" width="10.7109375" style="3" customWidth="1"/>
    <col min="16131" max="16131" width="10.28515625" style="3" customWidth="1"/>
    <col min="16132" max="16132" width="9.140625" style="3"/>
    <col min="16133" max="16133" width="11.42578125" style="3" customWidth="1"/>
    <col min="16134" max="16134" width="13.85546875" style="3" customWidth="1"/>
    <col min="16135" max="16384" width="9.140625" style="3"/>
  </cols>
  <sheetData>
    <row r="1" spans="1:6" ht="13.5" customHeight="1" thickBot="1">
      <c r="B1" s="2" t="s">
        <v>141</v>
      </c>
      <c r="C1" s="2"/>
      <c r="D1" s="470" t="s">
        <v>1</v>
      </c>
      <c r="E1" s="471"/>
      <c r="F1" s="81">
        <v>0</v>
      </c>
    </row>
    <row r="2" spans="1:6" ht="13.5" thickBot="1">
      <c r="D2" s="82"/>
      <c r="E2" s="83"/>
      <c r="F2" s="3"/>
    </row>
    <row r="3" spans="1:6" ht="11.25" customHeight="1">
      <c r="A3" s="472" t="s">
        <v>276</v>
      </c>
      <c r="B3" s="473"/>
      <c r="C3" s="473"/>
      <c r="D3" s="473"/>
      <c r="E3" s="465" t="s">
        <v>2</v>
      </c>
      <c r="F3" s="466"/>
    </row>
    <row r="4" spans="1:6" ht="51.75" thickBot="1">
      <c r="A4" s="372" t="s">
        <v>716</v>
      </c>
      <c r="B4" s="84" t="s">
        <v>3</v>
      </c>
      <c r="C4" s="84" t="s">
        <v>4</v>
      </c>
      <c r="D4" s="84" t="s">
        <v>5</v>
      </c>
      <c r="E4" s="85" t="s">
        <v>6</v>
      </c>
      <c r="F4" s="86" t="s">
        <v>7</v>
      </c>
    </row>
    <row r="5" spans="1:6" ht="13.5" thickTop="1">
      <c r="A5" s="11">
        <v>1</v>
      </c>
      <c r="B5" s="54" t="s">
        <v>39</v>
      </c>
      <c r="C5" s="132" t="s">
        <v>34</v>
      </c>
      <c r="D5" s="88">
        <v>1.23</v>
      </c>
      <c r="E5" s="129">
        <v>11.32</v>
      </c>
      <c r="F5" s="130">
        <f>E5*D5</f>
        <v>13.9236</v>
      </c>
    </row>
    <row r="6" spans="1:6">
      <c r="A6" s="17">
        <v>2</v>
      </c>
      <c r="B6" s="96" t="s">
        <v>40</v>
      </c>
      <c r="C6" s="133" t="s">
        <v>34</v>
      </c>
      <c r="D6" s="88">
        <v>1.23</v>
      </c>
      <c r="E6" s="134">
        <v>60</v>
      </c>
      <c r="F6" s="58">
        <f>E6*D6</f>
        <v>73.8</v>
      </c>
    </row>
    <row r="7" spans="1:6">
      <c r="A7" s="17">
        <v>3</v>
      </c>
      <c r="B7" s="96" t="s">
        <v>41</v>
      </c>
      <c r="C7" s="133" t="s">
        <v>34</v>
      </c>
      <c r="D7" s="88">
        <v>1.23</v>
      </c>
      <c r="E7" s="134">
        <v>17.579999999999998</v>
      </c>
      <c r="F7" s="58">
        <f t="shared" ref="F7:F36" si="0">E7*D7</f>
        <v>21.623399999999997</v>
      </c>
    </row>
    <row r="8" spans="1:6">
      <c r="A8" s="17">
        <v>4</v>
      </c>
      <c r="B8" s="91" t="s">
        <v>13</v>
      </c>
      <c r="C8" s="133" t="s">
        <v>42</v>
      </c>
      <c r="D8" s="88">
        <v>1.23</v>
      </c>
      <c r="E8" s="134">
        <v>3.9</v>
      </c>
      <c r="F8" s="58">
        <f t="shared" si="0"/>
        <v>4.7969999999999997</v>
      </c>
    </row>
    <row r="9" spans="1:6">
      <c r="A9" s="17">
        <v>5</v>
      </c>
      <c r="B9" s="54" t="s">
        <v>8</v>
      </c>
      <c r="C9" s="133" t="s">
        <v>43</v>
      </c>
      <c r="D9" s="88">
        <v>1.23</v>
      </c>
      <c r="E9" s="134">
        <v>2.16</v>
      </c>
      <c r="F9" s="58">
        <f t="shared" si="0"/>
        <v>2.6568000000000001</v>
      </c>
    </row>
    <row r="10" spans="1:6">
      <c r="A10" s="17"/>
      <c r="B10" s="91" t="s">
        <v>69</v>
      </c>
      <c r="C10" s="133"/>
      <c r="D10" s="93">
        <v>0.34</v>
      </c>
      <c r="E10" s="209">
        <v>500</v>
      </c>
      <c r="F10" s="58">
        <f t="shared" si="0"/>
        <v>170</v>
      </c>
    </row>
    <row r="11" spans="1:6">
      <c r="A11" s="17">
        <v>6</v>
      </c>
      <c r="B11" s="95" t="s">
        <v>11</v>
      </c>
      <c r="C11" s="133" t="s">
        <v>43</v>
      </c>
      <c r="D11" s="88">
        <v>1.23</v>
      </c>
      <c r="E11" s="134">
        <v>1.1599999999999999</v>
      </c>
      <c r="F11" s="58">
        <f t="shared" si="0"/>
        <v>1.4267999999999998</v>
      </c>
    </row>
    <row r="12" spans="1:6">
      <c r="A12" s="17">
        <v>7</v>
      </c>
      <c r="B12" s="96" t="s">
        <v>12</v>
      </c>
      <c r="C12" s="136" t="s">
        <v>43</v>
      </c>
      <c r="D12" s="88">
        <v>1.23</v>
      </c>
      <c r="E12" s="134">
        <v>21.66</v>
      </c>
      <c r="F12" s="58">
        <f t="shared" si="0"/>
        <v>26.6418</v>
      </c>
    </row>
    <row r="13" spans="1:6">
      <c r="A13" s="17">
        <v>8</v>
      </c>
      <c r="B13" s="95" t="s">
        <v>44</v>
      </c>
      <c r="C13" s="136" t="s">
        <v>70</v>
      </c>
      <c r="D13" s="88">
        <v>1.23</v>
      </c>
      <c r="E13" s="134">
        <v>2.16</v>
      </c>
      <c r="F13" s="58">
        <f t="shared" si="0"/>
        <v>2.6568000000000001</v>
      </c>
    </row>
    <row r="14" spans="1:6">
      <c r="A14" s="17">
        <v>9</v>
      </c>
      <c r="B14" s="95" t="s">
        <v>15</v>
      </c>
      <c r="C14" s="136" t="s">
        <v>70</v>
      </c>
      <c r="D14" s="88">
        <v>1.23</v>
      </c>
      <c r="E14" s="134">
        <v>0.56999999999999995</v>
      </c>
      <c r="F14" s="58">
        <f t="shared" si="0"/>
        <v>0.70109999999999995</v>
      </c>
    </row>
    <row r="15" spans="1:6">
      <c r="A15" s="17"/>
      <c r="B15" s="91" t="s">
        <v>16</v>
      </c>
      <c r="C15" s="133"/>
      <c r="D15" s="137">
        <v>0.65</v>
      </c>
      <c r="E15" s="134">
        <v>2500</v>
      </c>
      <c r="F15" s="58">
        <f t="shared" si="0"/>
        <v>1625</v>
      </c>
    </row>
    <row r="16" spans="1:6">
      <c r="A16" s="17">
        <v>10</v>
      </c>
      <c r="B16" s="91" t="s">
        <v>142</v>
      </c>
      <c r="C16" s="133" t="s">
        <v>70</v>
      </c>
      <c r="D16" s="88">
        <v>1.23</v>
      </c>
      <c r="E16" s="134">
        <v>4</v>
      </c>
      <c r="F16" s="58">
        <f t="shared" si="0"/>
        <v>4.92</v>
      </c>
    </row>
    <row r="17" spans="1:6">
      <c r="A17" s="17">
        <v>11</v>
      </c>
      <c r="B17" s="96" t="s">
        <v>20</v>
      </c>
      <c r="C17" s="133" t="s">
        <v>70</v>
      </c>
      <c r="D17" s="88">
        <v>1.23</v>
      </c>
      <c r="E17" s="134">
        <v>0.96</v>
      </c>
      <c r="F17" s="58">
        <f t="shared" si="0"/>
        <v>1.1807999999999998</v>
      </c>
    </row>
    <row r="18" spans="1:6">
      <c r="A18" s="17">
        <v>12</v>
      </c>
      <c r="B18" s="96" t="s">
        <v>22</v>
      </c>
      <c r="C18" s="133" t="s">
        <v>70</v>
      </c>
      <c r="D18" s="88">
        <v>1.23</v>
      </c>
      <c r="E18" s="134">
        <v>0.92</v>
      </c>
      <c r="F18" s="58">
        <f t="shared" si="0"/>
        <v>1.1315999999999999</v>
      </c>
    </row>
    <row r="19" spans="1:6">
      <c r="A19" s="17"/>
      <c r="B19" s="96" t="s">
        <v>143</v>
      </c>
      <c r="C19" s="133"/>
      <c r="D19" s="137">
        <v>8.8800000000000008</v>
      </c>
      <c r="E19" s="134">
        <v>5</v>
      </c>
      <c r="F19" s="58">
        <f t="shared" si="0"/>
        <v>44.400000000000006</v>
      </c>
    </row>
    <row r="20" spans="1:6">
      <c r="A20" s="17"/>
      <c r="B20" s="96" t="s">
        <v>144</v>
      </c>
      <c r="C20" s="133"/>
      <c r="D20" s="104"/>
      <c r="E20" s="134">
        <v>0</v>
      </c>
      <c r="F20" s="58">
        <f t="shared" si="0"/>
        <v>0</v>
      </c>
    </row>
    <row r="21" spans="1:6">
      <c r="A21" s="17">
        <v>13</v>
      </c>
      <c r="B21" s="54" t="s">
        <v>8</v>
      </c>
      <c r="C21" s="136" t="s">
        <v>21</v>
      </c>
      <c r="D21" s="88">
        <v>1.23</v>
      </c>
      <c r="E21" s="134">
        <v>0.9</v>
      </c>
      <c r="F21" s="58">
        <f t="shared" si="0"/>
        <v>1.107</v>
      </c>
    </row>
    <row r="22" spans="1:6">
      <c r="A22" s="17"/>
      <c r="B22" s="91" t="s">
        <v>51</v>
      </c>
      <c r="C22" s="136"/>
      <c r="D22" s="104">
        <v>0.32</v>
      </c>
      <c r="E22" s="134">
        <v>300</v>
      </c>
      <c r="F22" s="58">
        <f t="shared" si="0"/>
        <v>96</v>
      </c>
    </row>
    <row r="23" spans="1:6">
      <c r="A23" s="17">
        <v>14</v>
      </c>
      <c r="B23" s="95" t="s">
        <v>52</v>
      </c>
      <c r="C23" s="133" t="s">
        <v>21</v>
      </c>
      <c r="D23" s="88">
        <v>1.23</v>
      </c>
      <c r="E23" s="134">
        <v>2.92</v>
      </c>
      <c r="F23" s="58">
        <f t="shared" si="0"/>
        <v>3.5915999999999997</v>
      </c>
    </row>
    <row r="24" spans="1:6">
      <c r="A24" s="17">
        <v>15</v>
      </c>
      <c r="B24" s="96" t="s">
        <v>145</v>
      </c>
      <c r="C24" s="133" t="s">
        <v>146</v>
      </c>
      <c r="D24" s="88">
        <v>1.23</v>
      </c>
      <c r="E24" s="134">
        <v>3.84</v>
      </c>
      <c r="F24" s="58">
        <f t="shared" si="0"/>
        <v>4.7231999999999994</v>
      </c>
    </row>
    <row r="25" spans="1:6">
      <c r="A25" s="17">
        <v>16</v>
      </c>
      <c r="B25" s="96" t="s">
        <v>147</v>
      </c>
      <c r="C25" s="133" t="s">
        <v>146</v>
      </c>
      <c r="D25" s="88">
        <v>1.23</v>
      </c>
      <c r="E25" s="134">
        <v>3.68</v>
      </c>
      <c r="F25" s="58">
        <f t="shared" si="0"/>
        <v>4.5263999999999998</v>
      </c>
    </row>
    <row r="26" spans="1:6">
      <c r="A26" s="17"/>
      <c r="B26" s="96" t="s">
        <v>148</v>
      </c>
      <c r="C26" s="136"/>
      <c r="D26" s="137">
        <v>56.52</v>
      </c>
      <c r="E26" s="134">
        <v>0.5</v>
      </c>
      <c r="F26" s="58">
        <f t="shared" si="0"/>
        <v>28.26</v>
      </c>
    </row>
    <row r="27" spans="1:6">
      <c r="A27" s="17"/>
      <c r="B27" s="96" t="s">
        <v>149</v>
      </c>
      <c r="C27" s="136"/>
      <c r="D27" s="104">
        <v>170.37</v>
      </c>
      <c r="E27" s="134">
        <v>0.2</v>
      </c>
      <c r="F27" s="58">
        <f t="shared" si="0"/>
        <v>34.074000000000005</v>
      </c>
    </row>
    <row r="28" spans="1:6">
      <c r="A28" s="17"/>
      <c r="B28" s="96" t="s">
        <v>150</v>
      </c>
      <c r="C28" s="136"/>
      <c r="D28" s="104">
        <v>170.37</v>
      </c>
      <c r="E28" s="134">
        <v>0.2</v>
      </c>
      <c r="F28" s="58">
        <f t="shared" si="0"/>
        <v>34.074000000000005</v>
      </c>
    </row>
    <row r="29" spans="1:6">
      <c r="A29" s="17"/>
      <c r="B29" s="96" t="s">
        <v>151</v>
      </c>
      <c r="C29" s="136"/>
      <c r="D29" s="104">
        <v>26.64</v>
      </c>
      <c r="E29" s="138">
        <v>2.5</v>
      </c>
      <c r="F29" s="58">
        <f t="shared" si="0"/>
        <v>66.599999999999994</v>
      </c>
    </row>
    <row r="30" spans="1:6">
      <c r="A30" s="17"/>
      <c r="B30" s="96" t="s">
        <v>152</v>
      </c>
      <c r="C30" s="136"/>
      <c r="D30" s="104">
        <v>26.64</v>
      </c>
      <c r="E30" s="138">
        <v>2.5</v>
      </c>
      <c r="F30" s="58">
        <f t="shared" si="0"/>
        <v>66.599999999999994</v>
      </c>
    </row>
    <row r="31" spans="1:6">
      <c r="A31" s="184"/>
      <c r="B31" s="96" t="s">
        <v>153</v>
      </c>
      <c r="C31" s="210"/>
      <c r="D31" s="104">
        <v>170.37</v>
      </c>
      <c r="E31" s="211">
        <v>0.2</v>
      </c>
      <c r="F31" s="58">
        <f t="shared" si="0"/>
        <v>34.074000000000005</v>
      </c>
    </row>
    <row r="32" spans="1:6">
      <c r="A32" s="184"/>
      <c r="B32" s="96" t="s">
        <v>154</v>
      </c>
      <c r="C32" s="210"/>
      <c r="D32" s="104">
        <v>111.02</v>
      </c>
      <c r="E32" s="211">
        <v>0.4</v>
      </c>
      <c r="F32" s="58">
        <f t="shared" si="0"/>
        <v>44.408000000000001</v>
      </c>
    </row>
    <row r="33" spans="1:7">
      <c r="A33" s="184">
        <v>17</v>
      </c>
      <c r="B33" s="95" t="s">
        <v>138</v>
      </c>
      <c r="C33" s="185" t="s">
        <v>155</v>
      </c>
      <c r="D33" s="88">
        <v>1.23</v>
      </c>
      <c r="E33" s="186">
        <v>80</v>
      </c>
      <c r="F33" s="58">
        <f t="shared" si="0"/>
        <v>98.4</v>
      </c>
    </row>
    <row r="34" spans="1:7">
      <c r="A34" s="17">
        <v>18</v>
      </c>
      <c r="B34" s="96" t="s">
        <v>53</v>
      </c>
      <c r="C34" s="133" t="s">
        <v>54</v>
      </c>
      <c r="D34" s="88">
        <v>1.23</v>
      </c>
      <c r="E34" s="134">
        <v>2.92</v>
      </c>
      <c r="F34" s="58">
        <f t="shared" si="0"/>
        <v>3.5915999999999997</v>
      </c>
    </row>
    <row r="35" spans="1:7">
      <c r="A35" s="17">
        <v>19</v>
      </c>
      <c r="B35" s="95" t="s">
        <v>156</v>
      </c>
      <c r="C35" s="136" t="s">
        <v>96</v>
      </c>
      <c r="D35" s="218">
        <v>1.23</v>
      </c>
      <c r="E35" s="262">
        <v>16</v>
      </c>
      <c r="F35" s="58">
        <f t="shared" si="0"/>
        <v>19.68</v>
      </c>
    </row>
    <row r="36" spans="1:7" ht="13.5" thickBot="1">
      <c r="A36" s="30">
        <v>20</v>
      </c>
      <c r="B36" s="105" t="s">
        <v>157</v>
      </c>
      <c r="C36" s="140" t="s">
        <v>96</v>
      </c>
      <c r="D36" s="208">
        <v>1.23</v>
      </c>
      <c r="E36" s="271">
        <v>20</v>
      </c>
      <c r="F36" s="68">
        <f t="shared" si="0"/>
        <v>24.6</v>
      </c>
    </row>
    <row r="37" spans="1:7" ht="12.75" customHeight="1">
      <c r="A37" s="454" t="s">
        <v>30</v>
      </c>
      <c r="B37" s="455"/>
      <c r="C37" s="146"/>
      <c r="D37" s="175"/>
      <c r="E37" s="129"/>
      <c r="F37" s="130">
        <f>SUM(F5:F36)</f>
        <v>2559.1695000000004</v>
      </c>
      <c r="G37" s="212">
        <f>F1*F37</f>
        <v>0</v>
      </c>
    </row>
    <row r="38" spans="1:7" ht="13.5" customHeight="1" thickBot="1">
      <c r="A38" s="467" t="s">
        <v>31</v>
      </c>
      <c r="B38" s="468"/>
      <c r="C38" s="469"/>
      <c r="D38" s="144"/>
      <c r="E38" s="116">
        <f>E5+E6+E7+E8+E9+E11+E12+E13+E14+E16+E17+E18+E21+E23+E24+E25+E33+E34+E36</f>
        <v>240.64999999999998</v>
      </c>
      <c r="F38" s="131"/>
      <c r="G38" s="118" t="s">
        <v>277</v>
      </c>
    </row>
    <row r="39" spans="1:7" ht="13.5" thickBot="1">
      <c r="D39" s="82"/>
      <c r="E39" s="83"/>
      <c r="F39" s="3"/>
    </row>
    <row r="40" spans="1:7" ht="12" customHeight="1">
      <c r="A40" s="456" t="s">
        <v>663</v>
      </c>
      <c r="B40" s="457"/>
      <c r="C40" s="457"/>
      <c r="D40" s="457"/>
      <c r="E40" s="457"/>
      <c r="F40" s="458"/>
    </row>
    <row r="41" spans="1:7" ht="15" customHeight="1">
      <c r="A41" s="459"/>
      <c r="B41" s="460"/>
      <c r="C41" s="460"/>
      <c r="D41" s="460"/>
      <c r="E41" s="460"/>
      <c r="F41" s="461"/>
    </row>
    <row r="42" spans="1:7" ht="15" customHeight="1" thickBot="1">
      <c r="A42" s="462"/>
      <c r="B42" s="463"/>
      <c r="C42" s="463"/>
      <c r="D42" s="463"/>
      <c r="E42" s="463"/>
      <c r="F42" s="464"/>
    </row>
    <row r="43" spans="1:7" ht="13.5" thickBot="1">
      <c r="D43" s="82"/>
      <c r="E43" s="83"/>
      <c r="F43" s="3"/>
    </row>
    <row r="44" spans="1:7" ht="13.5" customHeight="1" thickBot="1">
      <c r="B44" s="2" t="s">
        <v>158</v>
      </c>
      <c r="C44" s="2"/>
      <c r="D44" s="470" t="s">
        <v>1</v>
      </c>
      <c r="E44" s="471"/>
      <c r="F44" s="81">
        <v>0</v>
      </c>
    </row>
    <row r="45" spans="1:7" ht="13.5" thickBot="1">
      <c r="D45" s="82"/>
      <c r="E45" s="83"/>
      <c r="F45" s="3"/>
    </row>
    <row r="46" spans="1:7" ht="11.25" customHeight="1">
      <c r="A46" s="472" t="s">
        <v>276</v>
      </c>
      <c r="B46" s="473"/>
      <c r="C46" s="473"/>
      <c r="D46" s="473"/>
      <c r="E46" s="465" t="s">
        <v>2</v>
      </c>
      <c r="F46" s="466"/>
    </row>
    <row r="47" spans="1:7" ht="51.75" thickBot="1">
      <c r="A47" s="372" t="s">
        <v>716</v>
      </c>
      <c r="B47" s="84" t="s">
        <v>3</v>
      </c>
      <c r="C47" s="84" t="s">
        <v>4</v>
      </c>
      <c r="D47" s="84" t="s">
        <v>5</v>
      </c>
      <c r="E47" s="85" t="s">
        <v>6</v>
      </c>
      <c r="F47" s="86" t="s">
        <v>7</v>
      </c>
    </row>
    <row r="48" spans="1:7" ht="13.5" thickTop="1">
      <c r="A48" s="11">
        <v>1</v>
      </c>
      <c r="B48" s="96" t="s">
        <v>41</v>
      </c>
      <c r="C48" s="132" t="s">
        <v>34</v>
      </c>
      <c r="D48" s="88">
        <v>1.23</v>
      </c>
      <c r="E48" s="129">
        <v>17.579999999999998</v>
      </c>
      <c r="F48" s="130">
        <f>E48*D48</f>
        <v>21.623399999999997</v>
      </c>
    </row>
    <row r="49" spans="1:6">
      <c r="A49" s="17">
        <v>2</v>
      </c>
      <c r="B49" s="91" t="s">
        <v>13</v>
      </c>
      <c r="C49" s="133" t="s">
        <v>42</v>
      </c>
      <c r="D49" s="88">
        <v>1.23</v>
      </c>
      <c r="E49" s="134">
        <v>3.9</v>
      </c>
      <c r="F49" s="130">
        <f>E49*D49</f>
        <v>4.7969999999999997</v>
      </c>
    </row>
    <row r="50" spans="1:6">
      <c r="A50" s="17">
        <v>3</v>
      </c>
      <c r="B50" s="54" t="s">
        <v>8</v>
      </c>
      <c r="C50" s="133" t="s">
        <v>43</v>
      </c>
      <c r="D50" s="88">
        <v>1.23</v>
      </c>
      <c r="E50" s="134">
        <v>0.9</v>
      </c>
      <c r="F50" s="130">
        <f>E50*D50</f>
        <v>1.107</v>
      </c>
    </row>
    <row r="51" spans="1:6">
      <c r="A51" s="17"/>
      <c r="B51" s="91" t="s">
        <v>69</v>
      </c>
      <c r="C51" s="133"/>
      <c r="D51" s="93">
        <v>0.34</v>
      </c>
      <c r="E51" s="134">
        <v>200</v>
      </c>
      <c r="F51" s="130">
        <f t="shared" ref="F51:F77" si="1">E51*D51</f>
        <v>68</v>
      </c>
    </row>
    <row r="52" spans="1:6">
      <c r="A52" s="17">
        <v>4</v>
      </c>
      <c r="B52" s="95" t="s">
        <v>11</v>
      </c>
      <c r="C52" s="133" t="s">
        <v>43</v>
      </c>
      <c r="D52" s="88">
        <v>1.23</v>
      </c>
      <c r="E52" s="134">
        <v>1.1599999999999999</v>
      </c>
      <c r="F52" s="130">
        <f t="shared" si="1"/>
        <v>1.4267999999999998</v>
      </c>
    </row>
    <row r="53" spans="1:6">
      <c r="A53" s="17">
        <v>5</v>
      </c>
      <c r="B53" s="96" t="s">
        <v>12</v>
      </c>
      <c r="C53" s="133" t="s">
        <v>43</v>
      </c>
      <c r="D53" s="88">
        <v>1.23</v>
      </c>
      <c r="E53" s="134">
        <v>21.66</v>
      </c>
      <c r="F53" s="130">
        <f t="shared" si="1"/>
        <v>26.6418</v>
      </c>
    </row>
    <row r="54" spans="1:6">
      <c r="A54" s="17">
        <v>6</v>
      </c>
      <c r="B54" s="54" t="s">
        <v>8</v>
      </c>
      <c r="C54" s="133" t="s">
        <v>45</v>
      </c>
      <c r="D54" s="88">
        <v>1.23</v>
      </c>
      <c r="E54" s="134">
        <v>0.96</v>
      </c>
      <c r="F54" s="130">
        <f t="shared" si="1"/>
        <v>1.1807999999999998</v>
      </c>
    </row>
    <row r="55" spans="1:6">
      <c r="A55" s="17"/>
      <c r="B55" s="91" t="s">
        <v>19</v>
      </c>
      <c r="C55" s="133"/>
      <c r="D55" s="97">
        <v>0.26</v>
      </c>
      <c r="E55" s="134">
        <v>200</v>
      </c>
      <c r="F55" s="130">
        <f t="shared" si="1"/>
        <v>52</v>
      </c>
    </row>
    <row r="56" spans="1:6">
      <c r="A56" s="17">
        <v>7</v>
      </c>
      <c r="B56" s="95" t="s">
        <v>11</v>
      </c>
      <c r="C56" s="136" t="s">
        <v>45</v>
      </c>
      <c r="D56" s="88">
        <v>1.23</v>
      </c>
      <c r="E56" s="134">
        <v>1.1599999999999999</v>
      </c>
      <c r="F56" s="130">
        <f t="shared" si="1"/>
        <v>1.4267999999999998</v>
      </c>
    </row>
    <row r="57" spans="1:6">
      <c r="A57" s="17">
        <v>8</v>
      </c>
      <c r="B57" s="95" t="s">
        <v>44</v>
      </c>
      <c r="C57" s="133" t="s">
        <v>45</v>
      </c>
      <c r="D57" s="88">
        <v>1.23</v>
      </c>
      <c r="E57" s="134">
        <v>2.16</v>
      </c>
      <c r="F57" s="130">
        <f t="shared" si="1"/>
        <v>2.6568000000000001</v>
      </c>
    </row>
    <row r="58" spans="1:6">
      <c r="A58" s="17">
        <v>9</v>
      </c>
      <c r="B58" s="95" t="s">
        <v>15</v>
      </c>
      <c r="C58" s="136" t="s">
        <v>45</v>
      </c>
      <c r="D58" s="88">
        <v>1.23</v>
      </c>
      <c r="E58" s="134">
        <v>0.24</v>
      </c>
      <c r="F58" s="130">
        <f t="shared" si="1"/>
        <v>0.29519999999999996</v>
      </c>
    </row>
    <row r="59" spans="1:6">
      <c r="A59" s="17"/>
      <c r="B59" s="91" t="s">
        <v>16</v>
      </c>
      <c r="C59" s="133"/>
      <c r="D59" s="137">
        <v>8.07</v>
      </c>
      <c r="E59" s="134">
        <v>100</v>
      </c>
      <c r="F59" s="130">
        <f t="shared" si="1"/>
        <v>807</v>
      </c>
    </row>
    <row r="60" spans="1:6">
      <c r="A60" s="17">
        <v>10</v>
      </c>
      <c r="B60" s="91" t="s">
        <v>17</v>
      </c>
      <c r="C60" s="133" t="s">
        <v>45</v>
      </c>
      <c r="D60" s="88">
        <v>1.23</v>
      </c>
      <c r="E60" s="134">
        <v>1.8</v>
      </c>
      <c r="F60" s="130">
        <f t="shared" si="1"/>
        <v>2.214</v>
      </c>
    </row>
    <row r="61" spans="1:6">
      <c r="A61" s="17">
        <v>11</v>
      </c>
      <c r="B61" s="96" t="s">
        <v>20</v>
      </c>
      <c r="C61" s="133" t="s">
        <v>45</v>
      </c>
      <c r="D61" s="88">
        <v>1.23</v>
      </c>
      <c r="E61" s="134">
        <v>0.96</v>
      </c>
      <c r="F61" s="130">
        <f t="shared" si="1"/>
        <v>1.1807999999999998</v>
      </c>
    </row>
    <row r="62" spans="1:6">
      <c r="A62" s="17">
        <v>12</v>
      </c>
      <c r="B62" s="96" t="s">
        <v>83</v>
      </c>
      <c r="C62" s="133" t="s">
        <v>45</v>
      </c>
      <c r="D62" s="88">
        <v>1.23</v>
      </c>
      <c r="E62" s="134">
        <v>0.92</v>
      </c>
      <c r="F62" s="130">
        <f t="shared" si="1"/>
        <v>1.1315999999999999</v>
      </c>
    </row>
    <row r="63" spans="1:6">
      <c r="A63" s="17"/>
      <c r="B63" s="96" t="s">
        <v>159</v>
      </c>
      <c r="C63" s="133"/>
      <c r="D63" s="137">
        <v>9.4499999999999993</v>
      </c>
      <c r="E63" s="134">
        <v>2.5</v>
      </c>
      <c r="F63" s="130">
        <f t="shared" si="1"/>
        <v>23.625</v>
      </c>
    </row>
    <row r="64" spans="1:6">
      <c r="A64" s="17"/>
      <c r="B64" s="162" t="s">
        <v>648</v>
      </c>
      <c r="C64" s="133"/>
      <c r="D64" s="174">
        <v>45.14</v>
      </c>
      <c r="E64" s="134">
        <v>0.3</v>
      </c>
      <c r="F64" s="130">
        <f t="shared" si="1"/>
        <v>13.542</v>
      </c>
    </row>
    <row r="65" spans="1:7">
      <c r="A65" s="17">
        <v>13</v>
      </c>
      <c r="B65" s="95" t="s">
        <v>77</v>
      </c>
      <c r="C65" s="136" t="s">
        <v>21</v>
      </c>
      <c r="D65" s="88">
        <v>1.23</v>
      </c>
      <c r="E65" s="134">
        <v>1.6</v>
      </c>
      <c r="F65" s="130">
        <f t="shared" si="1"/>
        <v>1.968</v>
      </c>
    </row>
    <row r="66" spans="1:7">
      <c r="A66" s="17">
        <v>14</v>
      </c>
      <c r="B66" s="96" t="s">
        <v>20</v>
      </c>
      <c r="C66" s="136" t="s">
        <v>21</v>
      </c>
      <c r="D66" s="88">
        <v>1.23</v>
      </c>
      <c r="E66" s="134">
        <v>0.96</v>
      </c>
      <c r="F66" s="130">
        <f t="shared" si="1"/>
        <v>1.1807999999999998</v>
      </c>
    </row>
    <row r="67" spans="1:7">
      <c r="A67" s="17">
        <v>15</v>
      </c>
      <c r="B67" s="96" t="s">
        <v>160</v>
      </c>
      <c r="C67" s="136" t="s">
        <v>21</v>
      </c>
      <c r="D67" s="88">
        <v>1.23</v>
      </c>
      <c r="E67" s="134">
        <v>0.92</v>
      </c>
      <c r="F67" s="130">
        <f t="shared" si="1"/>
        <v>1.1315999999999999</v>
      </c>
    </row>
    <row r="68" spans="1:7">
      <c r="A68" s="17"/>
      <c r="B68" s="95" t="s">
        <v>161</v>
      </c>
      <c r="C68" s="136"/>
      <c r="D68" s="197">
        <v>26.65</v>
      </c>
      <c r="E68" s="134">
        <v>1.2</v>
      </c>
      <c r="F68" s="130">
        <f t="shared" si="1"/>
        <v>31.979999999999997</v>
      </c>
    </row>
    <row r="69" spans="1:7">
      <c r="A69" s="17">
        <v>16</v>
      </c>
      <c r="B69" s="95" t="s">
        <v>53</v>
      </c>
      <c r="C69" s="133" t="s">
        <v>54</v>
      </c>
      <c r="D69" s="88">
        <v>1.23</v>
      </c>
      <c r="E69" s="134">
        <v>1.6</v>
      </c>
      <c r="F69" s="130">
        <f t="shared" si="1"/>
        <v>1.968</v>
      </c>
    </row>
    <row r="70" spans="1:7">
      <c r="A70" s="17">
        <v>17</v>
      </c>
      <c r="B70" s="96" t="s">
        <v>47</v>
      </c>
      <c r="C70" s="133" t="s">
        <v>54</v>
      </c>
      <c r="D70" s="88">
        <v>1.23</v>
      </c>
      <c r="E70" s="134">
        <f>0.96*2</f>
        <v>1.92</v>
      </c>
      <c r="F70" s="130">
        <f t="shared" si="1"/>
        <v>2.3615999999999997</v>
      </c>
    </row>
    <row r="71" spans="1:7">
      <c r="A71" s="17">
        <v>18</v>
      </c>
      <c r="B71" s="96" t="s">
        <v>48</v>
      </c>
      <c r="C71" s="133" t="s">
        <v>54</v>
      </c>
      <c r="D71" s="88">
        <v>1.23</v>
      </c>
      <c r="E71" s="134">
        <f>0.92*2</f>
        <v>1.84</v>
      </c>
      <c r="F71" s="130">
        <f t="shared" si="1"/>
        <v>2.2631999999999999</v>
      </c>
    </row>
    <row r="72" spans="1:7">
      <c r="A72" s="17"/>
      <c r="B72" s="95" t="s">
        <v>162</v>
      </c>
      <c r="C72" s="133"/>
      <c r="D72" s="104">
        <v>6.46</v>
      </c>
      <c r="E72" s="134">
        <v>2.5</v>
      </c>
      <c r="F72" s="130">
        <f t="shared" si="1"/>
        <v>16.149999999999999</v>
      </c>
    </row>
    <row r="73" spans="1:7">
      <c r="A73" s="17"/>
      <c r="B73" s="95" t="s">
        <v>163</v>
      </c>
      <c r="C73" s="133"/>
      <c r="D73" s="104">
        <v>26.24</v>
      </c>
      <c r="E73" s="134">
        <v>0.3</v>
      </c>
      <c r="F73" s="130">
        <f t="shared" si="1"/>
        <v>7.871999999999999</v>
      </c>
    </row>
    <row r="74" spans="1:7">
      <c r="A74" s="17"/>
      <c r="B74" s="95" t="s">
        <v>162</v>
      </c>
      <c r="C74" s="133"/>
      <c r="D74" s="104">
        <v>6.46</v>
      </c>
      <c r="E74" s="134">
        <v>2.5</v>
      </c>
      <c r="F74" s="130">
        <f t="shared" si="1"/>
        <v>16.149999999999999</v>
      </c>
    </row>
    <row r="75" spans="1:7">
      <c r="A75" s="17"/>
      <c r="B75" s="95" t="s">
        <v>164</v>
      </c>
      <c r="C75" s="133"/>
      <c r="D75" s="104">
        <v>26.24</v>
      </c>
      <c r="E75" s="134">
        <v>0.3</v>
      </c>
      <c r="F75" s="130">
        <f t="shared" si="1"/>
        <v>7.871999999999999</v>
      </c>
    </row>
    <row r="76" spans="1:7">
      <c r="A76" s="17">
        <v>19</v>
      </c>
      <c r="B76" s="95" t="s">
        <v>165</v>
      </c>
      <c r="C76" s="136" t="s">
        <v>26</v>
      </c>
      <c r="D76" s="104">
        <v>1.23</v>
      </c>
      <c r="E76" s="451">
        <v>8.33</v>
      </c>
      <c r="F76" s="130">
        <f t="shared" si="1"/>
        <v>10.245900000000001</v>
      </c>
    </row>
    <row r="77" spans="1:7" ht="13.5" thickBot="1">
      <c r="A77" s="30">
        <v>20</v>
      </c>
      <c r="B77" s="105" t="s">
        <v>166</v>
      </c>
      <c r="C77" s="140" t="s">
        <v>26</v>
      </c>
      <c r="D77" s="208">
        <v>1.23</v>
      </c>
      <c r="E77" s="116">
        <v>5.64</v>
      </c>
      <c r="F77" s="68">
        <f t="shared" si="1"/>
        <v>6.9371999999999998</v>
      </c>
    </row>
    <row r="78" spans="1:7" ht="12.75" customHeight="1">
      <c r="A78" s="454" t="s">
        <v>30</v>
      </c>
      <c r="B78" s="455"/>
      <c r="C78" s="146"/>
      <c r="D78" s="175"/>
      <c r="E78" s="129"/>
      <c r="F78" s="130">
        <f>SUM(F48:F77)</f>
        <v>1137.9293000000007</v>
      </c>
      <c r="G78" s="212">
        <f>F44*F78</f>
        <v>0</v>
      </c>
    </row>
    <row r="79" spans="1:7" ht="13.5" customHeight="1" thickBot="1">
      <c r="A79" s="467" t="s">
        <v>31</v>
      </c>
      <c r="B79" s="468"/>
      <c r="C79" s="469"/>
      <c r="D79" s="144"/>
      <c r="E79" s="116">
        <f>E48+E49+E50+E52+E53+E54+E56+E57+E58+E60+E61+E62+E65+E66+E67+E69+E70+E71+E77</f>
        <v>67.88</v>
      </c>
      <c r="F79" s="131"/>
      <c r="G79" s="118" t="s">
        <v>277</v>
      </c>
    </row>
    <row r="80" spans="1:7" ht="13.5" thickBot="1">
      <c r="D80" s="82"/>
      <c r="E80" s="83"/>
      <c r="F80" s="3"/>
    </row>
    <row r="81" spans="1:6" ht="12" customHeight="1">
      <c r="A81" s="489" t="s">
        <v>664</v>
      </c>
      <c r="B81" s="490"/>
      <c r="C81" s="490"/>
      <c r="D81" s="490"/>
      <c r="E81" s="490"/>
      <c r="F81" s="491"/>
    </row>
    <row r="82" spans="1:6" ht="15" customHeight="1">
      <c r="A82" s="492"/>
      <c r="B82" s="493"/>
      <c r="C82" s="493"/>
      <c r="D82" s="493"/>
      <c r="E82" s="493"/>
      <c r="F82" s="494"/>
    </row>
    <row r="83" spans="1:6" ht="15" customHeight="1" thickBot="1">
      <c r="A83" s="495"/>
      <c r="B83" s="496"/>
      <c r="C83" s="496"/>
      <c r="D83" s="496"/>
      <c r="E83" s="496"/>
      <c r="F83" s="497"/>
    </row>
    <row r="84" spans="1:6" s="43" customFormat="1" ht="13.5" thickBot="1">
      <c r="C84" s="176"/>
      <c r="D84" s="176"/>
      <c r="E84" s="176"/>
      <c r="F84" s="176"/>
    </row>
    <row r="85" spans="1:6" ht="13.5" customHeight="1" thickBot="1">
      <c r="B85" s="2" t="s">
        <v>167</v>
      </c>
      <c r="C85" s="2"/>
      <c r="D85" s="470" t="s">
        <v>1</v>
      </c>
      <c r="E85" s="471"/>
      <c r="F85" s="81">
        <v>0</v>
      </c>
    </row>
    <row r="86" spans="1:6" ht="13.5" thickBot="1"/>
    <row r="87" spans="1:6" ht="11.25" customHeight="1">
      <c r="A87" s="472" t="s">
        <v>276</v>
      </c>
      <c r="B87" s="473"/>
      <c r="C87" s="473"/>
      <c r="D87" s="473"/>
      <c r="E87" s="465" t="s">
        <v>2</v>
      </c>
      <c r="F87" s="466"/>
    </row>
    <row r="88" spans="1:6" ht="51.75" thickBot="1">
      <c r="A88" s="372" t="s">
        <v>716</v>
      </c>
      <c r="B88" s="84" t="s">
        <v>3</v>
      </c>
      <c r="C88" s="84" t="s">
        <v>4</v>
      </c>
      <c r="D88" s="84" t="s">
        <v>5</v>
      </c>
      <c r="E88" s="85" t="s">
        <v>6</v>
      </c>
      <c r="F88" s="86" t="s">
        <v>7</v>
      </c>
    </row>
    <row r="89" spans="1:6" ht="13.5" thickTop="1">
      <c r="A89" s="152">
        <v>1</v>
      </c>
      <c r="B89" s="54" t="s">
        <v>8</v>
      </c>
      <c r="C89" s="154" t="s">
        <v>9</v>
      </c>
      <c r="D89" s="88">
        <v>1.23</v>
      </c>
      <c r="E89" s="213">
        <v>1.44</v>
      </c>
      <c r="F89" s="214">
        <f>E89*D89</f>
        <v>1.7711999999999999</v>
      </c>
    </row>
    <row r="90" spans="1:6">
      <c r="A90" s="100"/>
      <c r="B90" s="95" t="s">
        <v>69</v>
      </c>
      <c r="C90" s="136" t="s">
        <v>9</v>
      </c>
      <c r="D90" s="93">
        <v>0.34</v>
      </c>
      <c r="E90" s="215">
        <v>500</v>
      </c>
      <c r="F90" s="216">
        <f>E90*D90</f>
        <v>170</v>
      </c>
    </row>
    <row r="91" spans="1:6">
      <c r="A91" s="100">
        <v>2</v>
      </c>
      <c r="B91" s="95" t="s">
        <v>11</v>
      </c>
      <c r="C91" s="136" t="s">
        <v>9</v>
      </c>
      <c r="D91" s="88">
        <v>1.23</v>
      </c>
      <c r="E91" s="215">
        <v>1.1599999999999999</v>
      </c>
      <c r="F91" s="216">
        <f t="shared" ref="F91:F108" si="2">E91*D91</f>
        <v>1.4267999999999998</v>
      </c>
    </row>
    <row r="92" spans="1:6">
      <c r="A92" s="100">
        <v>3</v>
      </c>
      <c r="B92" s="54" t="s">
        <v>39</v>
      </c>
      <c r="C92" s="136" t="s">
        <v>9</v>
      </c>
      <c r="D92" s="88">
        <v>1.23</v>
      </c>
      <c r="E92" s="215">
        <v>11.32</v>
      </c>
      <c r="F92" s="216">
        <f t="shared" si="2"/>
        <v>13.9236</v>
      </c>
    </row>
    <row r="93" spans="1:6">
      <c r="A93" s="100">
        <v>4</v>
      </c>
      <c r="B93" s="96" t="s">
        <v>40</v>
      </c>
      <c r="C93" s="136" t="s">
        <v>9</v>
      </c>
      <c r="D93" s="88">
        <v>1.23</v>
      </c>
      <c r="E93" s="215">
        <v>60</v>
      </c>
      <c r="F93" s="216">
        <f t="shared" si="2"/>
        <v>73.8</v>
      </c>
    </row>
    <row r="94" spans="1:6">
      <c r="A94" s="100">
        <v>5</v>
      </c>
      <c r="B94" s="96" t="s">
        <v>12</v>
      </c>
      <c r="C94" s="136" t="s">
        <v>9</v>
      </c>
      <c r="D94" s="88">
        <v>1.23</v>
      </c>
      <c r="E94" s="215">
        <v>21.66</v>
      </c>
      <c r="F94" s="216">
        <f t="shared" si="2"/>
        <v>26.6418</v>
      </c>
    </row>
    <row r="95" spans="1:6">
      <c r="A95" s="100">
        <v>6</v>
      </c>
      <c r="B95" s="54" t="s">
        <v>8</v>
      </c>
      <c r="C95" s="136" t="s">
        <v>70</v>
      </c>
      <c r="D95" s="88">
        <v>1.23</v>
      </c>
      <c r="E95" s="215">
        <v>0.84</v>
      </c>
      <c r="F95" s="216">
        <f t="shared" si="2"/>
        <v>1.0331999999999999</v>
      </c>
    </row>
    <row r="96" spans="1:6">
      <c r="A96" s="100"/>
      <c r="B96" s="95" t="s">
        <v>51</v>
      </c>
      <c r="C96" s="136"/>
      <c r="D96" s="104">
        <v>0.32</v>
      </c>
      <c r="E96" s="215">
        <v>200</v>
      </c>
      <c r="F96" s="216">
        <f t="shared" si="2"/>
        <v>64</v>
      </c>
    </row>
    <row r="97" spans="1:7">
      <c r="A97" s="100">
        <v>7</v>
      </c>
      <c r="B97" s="95" t="s">
        <v>11</v>
      </c>
      <c r="C97" s="136" t="s">
        <v>70</v>
      </c>
      <c r="D97" s="88">
        <v>1.23</v>
      </c>
      <c r="E97" s="215">
        <v>1.1599999999999999</v>
      </c>
      <c r="F97" s="216">
        <f t="shared" si="2"/>
        <v>1.4267999999999998</v>
      </c>
    </row>
    <row r="98" spans="1:7">
      <c r="A98" s="100">
        <v>8</v>
      </c>
      <c r="B98" s="91" t="s">
        <v>14</v>
      </c>
      <c r="C98" s="136" t="s">
        <v>70</v>
      </c>
      <c r="D98" s="88">
        <v>1.23</v>
      </c>
      <c r="E98" s="215">
        <v>2.2799999999999998</v>
      </c>
      <c r="F98" s="216">
        <f t="shared" si="2"/>
        <v>2.8043999999999998</v>
      </c>
    </row>
    <row r="99" spans="1:7">
      <c r="A99" s="100"/>
      <c r="B99" s="95" t="s">
        <v>168</v>
      </c>
      <c r="C99" s="136"/>
      <c r="D99" s="63">
        <v>79.45</v>
      </c>
      <c r="E99" s="215">
        <v>10</v>
      </c>
      <c r="F99" s="216">
        <f t="shared" si="2"/>
        <v>794.5</v>
      </c>
    </row>
    <row r="100" spans="1:7">
      <c r="A100" s="100">
        <v>9</v>
      </c>
      <c r="B100" s="95" t="s">
        <v>17</v>
      </c>
      <c r="C100" s="136" t="s">
        <v>45</v>
      </c>
      <c r="D100" s="88">
        <v>1.23</v>
      </c>
      <c r="E100" s="215">
        <v>3.15</v>
      </c>
      <c r="F100" s="216">
        <f t="shared" si="2"/>
        <v>3.8744999999999998</v>
      </c>
    </row>
    <row r="101" spans="1:7">
      <c r="A101" s="100">
        <v>10</v>
      </c>
      <c r="B101" s="96" t="s">
        <v>47</v>
      </c>
      <c r="C101" s="136" t="s">
        <v>21</v>
      </c>
      <c r="D101" s="88">
        <v>1.23</v>
      </c>
      <c r="E101" s="94">
        <f>0.96*2</f>
        <v>1.92</v>
      </c>
      <c r="F101" s="216">
        <f t="shared" si="2"/>
        <v>2.3615999999999997</v>
      </c>
    </row>
    <row r="102" spans="1:7">
      <c r="A102" s="100">
        <v>11</v>
      </c>
      <c r="B102" s="95" t="s">
        <v>48</v>
      </c>
      <c r="C102" s="217" t="s">
        <v>21</v>
      </c>
      <c r="D102" s="88">
        <v>1.23</v>
      </c>
      <c r="E102" s="94">
        <f>0.92*2</f>
        <v>1.84</v>
      </c>
      <c r="F102" s="216">
        <f t="shared" si="2"/>
        <v>2.2631999999999999</v>
      </c>
    </row>
    <row r="103" spans="1:7">
      <c r="A103" s="100"/>
      <c r="B103" s="95" t="s">
        <v>124</v>
      </c>
      <c r="C103" s="217"/>
      <c r="D103" s="218">
        <v>7.02</v>
      </c>
      <c r="E103" s="94">
        <v>2.5</v>
      </c>
      <c r="F103" s="216">
        <f t="shared" si="2"/>
        <v>17.549999999999997</v>
      </c>
    </row>
    <row r="104" spans="1:7">
      <c r="A104" s="100"/>
      <c r="B104" s="95" t="s">
        <v>164</v>
      </c>
      <c r="C104" s="136"/>
      <c r="D104" s="104">
        <v>26.24</v>
      </c>
      <c r="E104" s="219">
        <v>0.3</v>
      </c>
      <c r="F104" s="216">
        <f t="shared" si="2"/>
        <v>7.871999999999999</v>
      </c>
    </row>
    <row r="105" spans="1:7">
      <c r="A105" s="100">
        <v>12</v>
      </c>
      <c r="B105" s="95" t="s">
        <v>169</v>
      </c>
      <c r="C105" s="136" t="s">
        <v>21</v>
      </c>
      <c r="D105" s="88">
        <v>1.23</v>
      </c>
      <c r="E105" s="215">
        <v>5.6</v>
      </c>
      <c r="F105" s="216">
        <f t="shared" si="2"/>
        <v>6.8879999999999999</v>
      </c>
    </row>
    <row r="106" spans="1:7">
      <c r="A106" s="100">
        <v>13</v>
      </c>
      <c r="B106" s="95" t="s">
        <v>138</v>
      </c>
      <c r="C106" s="136" t="s">
        <v>170</v>
      </c>
      <c r="D106" s="88">
        <v>1.23</v>
      </c>
      <c r="E106" s="215">
        <f>40*2</f>
        <v>80</v>
      </c>
      <c r="F106" s="216">
        <f t="shared" si="2"/>
        <v>98.4</v>
      </c>
    </row>
    <row r="107" spans="1:7">
      <c r="A107" s="100">
        <v>14</v>
      </c>
      <c r="B107" s="95" t="s">
        <v>696</v>
      </c>
      <c r="C107" s="136" t="s">
        <v>26</v>
      </c>
      <c r="D107" s="88">
        <v>1.23</v>
      </c>
      <c r="E107" s="215">
        <v>11.6</v>
      </c>
      <c r="F107" s="216">
        <f t="shared" si="2"/>
        <v>14.267999999999999</v>
      </c>
    </row>
    <row r="108" spans="1:7" ht="13.5" thickBot="1">
      <c r="A108" s="164">
        <v>15</v>
      </c>
      <c r="B108" s="165" t="s">
        <v>697</v>
      </c>
      <c r="C108" s="166" t="s">
        <v>26</v>
      </c>
      <c r="D108" s="208">
        <v>1.23</v>
      </c>
      <c r="E108" s="220">
        <v>22.24</v>
      </c>
      <c r="F108" s="221">
        <f t="shared" si="2"/>
        <v>27.355199999999996</v>
      </c>
    </row>
    <row r="109" spans="1:7">
      <c r="A109" s="479" t="s">
        <v>30</v>
      </c>
      <c r="B109" s="474"/>
      <c r="C109" s="110"/>
      <c r="D109" s="202"/>
      <c r="E109" s="203"/>
      <c r="F109" s="222">
        <f>SUM(F89:F108)</f>
        <v>1332.1603</v>
      </c>
      <c r="G109" s="212">
        <f>F85*F109</f>
        <v>0</v>
      </c>
    </row>
    <row r="110" spans="1:7" ht="13.5" thickBot="1">
      <c r="A110" s="467" t="s">
        <v>31</v>
      </c>
      <c r="B110" s="468"/>
      <c r="C110" s="469"/>
      <c r="D110" s="105"/>
      <c r="E110" s="205">
        <f>E89+E91+E92+E93+E94+E95+E97+E98+E100+E101+E102+E105+E106+E107+E108</f>
        <v>226.21</v>
      </c>
      <c r="F110" s="206"/>
      <c r="G110" s="118" t="s">
        <v>277</v>
      </c>
    </row>
    <row r="111" spans="1:7" ht="13.5" thickBot="1"/>
    <row r="112" spans="1:7" ht="16.5" customHeight="1">
      <c r="A112" s="456" t="s">
        <v>689</v>
      </c>
      <c r="B112" s="457"/>
      <c r="C112" s="457"/>
      <c r="D112" s="457"/>
      <c r="E112" s="457"/>
      <c r="F112" s="458"/>
    </row>
    <row r="113" spans="1:6" ht="16.5" customHeight="1">
      <c r="A113" s="459"/>
      <c r="B113" s="460"/>
      <c r="C113" s="460"/>
      <c r="D113" s="460"/>
      <c r="E113" s="460"/>
      <c r="F113" s="461"/>
    </row>
    <row r="114" spans="1:6" ht="16.5" customHeight="1" thickBot="1">
      <c r="A114" s="462"/>
      <c r="B114" s="463"/>
      <c r="C114" s="463"/>
      <c r="D114" s="463"/>
      <c r="E114" s="463"/>
      <c r="F114" s="464"/>
    </row>
    <row r="115" spans="1:6" ht="13.5" thickBot="1"/>
    <row r="116" spans="1:6" ht="13.5" customHeight="1" thickBot="1">
      <c r="B116" s="2" t="s">
        <v>171</v>
      </c>
      <c r="C116" s="2"/>
      <c r="D116" s="470" t="s">
        <v>1</v>
      </c>
      <c r="E116" s="471"/>
      <c r="F116" s="81">
        <v>0</v>
      </c>
    </row>
    <row r="117" spans="1:6" ht="13.5" thickBot="1">
      <c r="D117" s="223"/>
      <c r="E117" s="6"/>
      <c r="F117" s="127"/>
    </row>
    <row r="118" spans="1:6" ht="11.25" customHeight="1">
      <c r="A118" s="472" t="s">
        <v>276</v>
      </c>
      <c r="B118" s="473"/>
      <c r="C118" s="473"/>
      <c r="D118" s="473"/>
      <c r="E118" s="465" t="s">
        <v>2</v>
      </c>
      <c r="F118" s="466"/>
    </row>
    <row r="119" spans="1:6" ht="51.75" thickBot="1">
      <c r="A119" s="372" t="s">
        <v>716</v>
      </c>
      <c r="B119" s="84" t="s">
        <v>3</v>
      </c>
      <c r="C119" s="84" t="s">
        <v>4</v>
      </c>
      <c r="D119" s="84" t="s">
        <v>5</v>
      </c>
      <c r="E119" s="85" t="s">
        <v>6</v>
      </c>
      <c r="F119" s="86" t="s">
        <v>7</v>
      </c>
    </row>
    <row r="120" spans="1:6" ht="13.5" thickTop="1">
      <c r="A120" s="152">
        <v>1</v>
      </c>
      <c r="B120" s="54" t="s">
        <v>8</v>
      </c>
      <c r="C120" s="154" t="s">
        <v>9</v>
      </c>
      <c r="D120" s="88">
        <v>1.23</v>
      </c>
      <c r="E120" s="213">
        <v>1.44</v>
      </c>
      <c r="F120" s="214">
        <f>D120*E120</f>
        <v>1.7711999999999999</v>
      </c>
    </row>
    <row r="121" spans="1:6">
      <c r="A121" s="100"/>
      <c r="B121" s="95" t="s">
        <v>172</v>
      </c>
      <c r="C121" s="136" t="s">
        <v>9</v>
      </c>
      <c r="D121" s="93">
        <v>0.34</v>
      </c>
      <c r="E121" s="215">
        <v>500</v>
      </c>
      <c r="F121" s="216">
        <f>D121*E121</f>
        <v>170</v>
      </c>
    </row>
    <row r="122" spans="1:6">
      <c r="A122" s="100">
        <v>2</v>
      </c>
      <c r="B122" s="95" t="s">
        <v>11</v>
      </c>
      <c r="C122" s="136" t="s">
        <v>9</v>
      </c>
      <c r="D122" s="88">
        <v>1.23</v>
      </c>
      <c r="E122" s="215">
        <v>1.1599999999999999</v>
      </c>
      <c r="F122" s="216">
        <f t="shared" ref="F122:F139" si="3">D122*E122</f>
        <v>1.4267999999999998</v>
      </c>
    </row>
    <row r="123" spans="1:6">
      <c r="A123" s="100">
        <v>3</v>
      </c>
      <c r="B123" s="96" t="s">
        <v>12</v>
      </c>
      <c r="C123" s="136" t="s">
        <v>9</v>
      </c>
      <c r="D123" s="88">
        <v>1.23</v>
      </c>
      <c r="E123" s="215">
        <v>21.66</v>
      </c>
      <c r="F123" s="216">
        <f t="shared" si="3"/>
        <v>26.6418</v>
      </c>
    </row>
    <row r="124" spans="1:6">
      <c r="A124" s="100">
        <v>4</v>
      </c>
      <c r="B124" s="95" t="s">
        <v>173</v>
      </c>
      <c r="C124" s="136" t="s">
        <v>70</v>
      </c>
      <c r="D124" s="88">
        <v>1.23</v>
      </c>
      <c r="E124" s="215">
        <v>4.5599999999999996</v>
      </c>
      <c r="F124" s="216">
        <f t="shared" si="3"/>
        <v>5.6087999999999996</v>
      </c>
    </row>
    <row r="125" spans="1:6">
      <c r="A125" s="100">
        <v>5</v>
      </c>
      <c r="B125" s="54" t="s">
        <v>8</v>
      </c>
      <c r="C125" s="136" t="s">
        <v>70</v>
      </c>
      <c r="D125" s="88">
        <v>1.23</v>
      </c>
      <c r="E125" s="215">
        <v>1.62</v>
      </c>
      <c r="F125" s="216">
        <f t="shared" si="3"/>
        <v>1.9926000000000001</v>
      </c>
    </row>
    <row r="126" spans="1:6">
      <c r="A126" s="100"/>
      <c r="B126" s="95" t="s">
        <v>51</v>
      </c>
      <c r="C126" s="136"/>
      <c r="D126" s="104">
        <v>0.32</v>
      </c>
      <c r="E126" s="215">
        <v>400</v>
      </c>
      <c r="F126" s="216">
        <f t="shared" si="3"/>
        <v>128</v>
      </c>
    </row>
    <row r="127" spans="1:6">
      <c r="A127" s="100">
        <v>6</v>
      </c>
      <c r="B127" s="95" t="s">
        <v>11</v>
      </c>
      <c r="C127" s="136" t="s">
        <v>70</v>
      </c>
      <c r="D127" s="88">
        <v>1.23</v>
      </c>
      <c r="E127" s="215">
        <v>1.1599999999999999</v>
      </c>
      <c r="F127" s="216">
        <f t="shared" si="3"/>
        <v>1.4267999999999998</v>
      </c>
    </row>
    <row r="128" spans="1:6">
      <c r="A128" s="100">
        <v>7</v>
      </c>
      <c r="B128" s="95" t="s">
        <v>15</v>
      </c>
      <c r="C128" s="136" t="s">
        <v>70</v>
      </c>
      <c r="D128" s="88">
        <v>1.23</v>
      </c>
      <c r="E128" s="215">
        <v>0.96</v>
      </c>
      <c r="F128" s="216">
        <f t="shared" si="3"/>
        <v>1.1807999999999998</v>
      </c>
    </row>
    <row r="129" spans="1:7">
      <c r="A129" s="100"/>
      <c r="B129" s="95" t="s">
        <v>168</v>
      </c>
      <c r="C129" s="136"/>
      <c r="D129" s="194">
        <v>2.83</v>
      </c>
      <c r="E129" s="215">
        <v>200</v>
      </c>
      <c r="F129" s="216">
        <f t="shared" si="3"/>
        <v>566</v>
      </c>
    </row>
    <row r="130" spans="1:7">
      <c r="A130" s="100">
        <v>8</v>
      </c>
      <c r="B130" s="95" t="s">
        <v>17</v>
      </c>
      <c r="C130" s="136" t="s">
        <v>70</v>
      </c>
      <c r="D130" s="88">
        <v>1.23</v>
      </c>
      <c r="E130" s="215">
        <v>1.8</v>
      </c>
      <c r="F130" s="216">
        <f t="shared" si="3"/>
        <v>2.214</v>
      </c>
    </row>
    <row r="131" spans="1:7">
      <c r="A131" s="100">
        <v>9</v>
      </c>
      <c r="B131" s="95" t="s">
        <v>174</v>
      </c>
      <c r="C131" s="136" t="s">
        <v>175</v>
      </c>
      <c r="D131" s="88">
        <v>1.23</v>
      </c>
      <c r="E131" s="215">
        <f>0.96*3</f>
        <v>2.88</v>
      </c>
      <c r="F131" s="216">
        <f t="shared" si="3"/>
        <v>3.5423999999999998</v>
      </c>
    </row>
    <row r="132" spans="1:7">
      <c r="A132" s="100">
        <v>10</v>
      </c>
      <c r="B132" s="95" t="s">
        <v>176</v>
      </c>
      <c r="C132" s="136" t="s">
        <v>175</v>
      </c>
      <c r="D132" s="88">
        <v>1.23</v>
      </c>
      <c r="E132" s="215">
        <f>0.92*3</f>
        <v>2.7600000000000002</v>
      </c>
      <c r="F132" s="216">
        <f t="shared" si="3"/>
        <v>3.3948</v>
      </c>
    </row>
    <row r="133" spans="1:7">
      <c r="A133" s="100"/>
      <c r="B133" s="95" t="s">
        <v>177</v>
      </c>
      <c r="C133" s="136" t="s">
        <v>70</v>
      </c>
      <c r="D133" s="88">
        <v>8.8800000000000008</v>
      </c>
      <c r="E133" s="215">
        <v>5</v>
      </c>
      <c r="F133" s="216">
        <f t="shared" si="3"/>
        <v>44.400000000000006</v>
      </c>
    </row>
    <row r="134" spans="1:7">
      <c r="A134" s="100"/>
      <c r="B134" s="95" t="s">
        <v>178</v>
      </c>
      <c r="C134" s="136" t="s">
        <v>45</v>
      </c>
      <c r="D134" s="194">
        <v>26.65</v>
      </c>
      <c r="E134" s="215">
        <v>1.2</v>
      </c>
      <c r="F134" s="216">
        <f t="shared" si="3"/>
        <v>31.979999999999997</v>
      </c>
    </row>
    <row r="135" spans="1:7">
      <c r="A135" s="100"/>
      <c r="B135" s="95" t="s">
        <v>179</v>
      </c>
      <c r="C135" s="136" t="s">
        <v>45</v>
      </c>
      <c r="D135" s="194">
        <v>52.89</v>
      </c>
      <c r="E135" s="215">
        <v>0.15</v>
      </c>
      <c r="F135" s="216">
        <f t="shared" si="3"/>
        <v>7.9334999999999996</v>
      </c>
    </row>
    <row r="136" spans="1:7">
      <c r="A136" s="100">
        <v>11</v>
      </c>
      <c r="B136" s="95" t="s">
        <v>169</v>
      </c>
      <c r="C136" s="136" t="s">
        <v>125</v>
      </c>
      <c r="D136" s="88">
        <v>1.23</v>
      </c>
      <c r="E136" s="215">
        <v>5.6</v>
      </c>
      <c r="F136" s="216">
        <f t="shared" si="3"/>
        <v>6.8879999999999999</v>
      </c>
    </row>
    <row r="137" spans="1:7">
      <c r="A137" s="100">
        <v>12</v>
      </c>
      <c r="B137" s="95" t="s">
        <v>138</v>
      </c>
      <c r="C137" s="136" t="s">
        <v>170</v>
      </c>
      <c r="D137" s="88">
        <v>1.23</v>
      </c>
      <c r="E137" s="215">
        <f>40*2</f>
        <v>80</v>
      </c>
      <c r="F137" s="216">
        <f t="shared" si="3"/>
        <v>98.4</v>
      </c>
    </row>
    <row r="138" spans="1:7">
      <c r="A138" s="100">
        <v>13</v>
      </c>
      <c r="B138" s="95" t="s">
        <v>180</v>
      </c>
      <c r="C138" s="136" t="s">
        <v>54</v>
      </c>
      <c r="D138" s="88">
        <v>1.23</v>
      </c>
      <c r="E138" s="215">
        <v>8.33</v>
      </c>
      <c r="F138" s="216">
        <f t="shared" si="3"/>
        <v>10.245900000000001</v>
      </c>
    </row>
    <row r="139" spans="1:7" ht="13.5" thickBot="1">
      <c r="A139" s="164">
        <v>14</v>
      </c>
      <c r="B139" s="165" t="s">
        <v>181</v>
      </c>
      <c r="C139" s="166" t="s">
        <v>54</v>
      </c>
      <c r="D139" s="208">
        <v>1.23</v>
      </c>
      <c r="E139" s="452">
        <v>7</v>
      </c>
      <c r="F139" s="221">
        <f t="shared" si="3"/>
        <v>8.61</v>
      </c>
    </row>
    <row r="140" spans="1:7">
      <c r="A140" s="479" t="s">
        <v>30</v>
      </c>
      <c r="B140" s="474"/>
      <c r="C140" s="110"/>
      <c r="D140" s="202"/>
      <c r="E140" s="203"/>
      <c r="F140" s="222">
        <f>SUM(F120:F139)</f>
        <v>1121.6574000000001</v>
      </c>
      <c r="G140" s="212">
        <f>F116*F140</f>
        <v>0</v>
      </c>
    </row>
    <row r="141" spans="1:7" ht="13.5" thickBot="1">
      <c r="A141" s="467" t="s">
        <v>31</v>
      </c>
      <c r="B141" s="468"/>
      <c r="C141" s="469"/>
      <c r="D141" s="105"/>
      <c r="E141" s="205">
        <f>E120+E122+E123+E124+E125+E127+E128+E130+E131+E132+E136+E137+E138+E139</f>
        <v>140.93</v>
      </c>
      <c r="F141" s="206"/>
      <c r="G141" s="118" t="s">
        <v>277</v>
      </c>
    </row>
    <row r="142" spans="1:7" ht="13.5" thickBot="1"/>
    <row r="143" spans="1:7" ht="15" customHeight="1">
      <c r="A143" s="456" t="s">
        <v>688</v>
      </c>
      <c r="B143" s="457"/>
      <c r="C143" s="457"/>
      <c r="D143" s="457"/>
      <c r="E143" s="457"/>
      <c r="F143" s="458"/>
    </row>
    <row r="144" spans="1:7" ht="15" customHeight="1">
      <c r="A144" s="459"/>
      <c r="B144" s="460"/>
      <c r="C144" s="460"/>
      <c r="D144" s="460"/>
      <c r="E144" s="460"/>
      <c r="F144" s="461"/>
    </row>
    <row r="145" spans="1:6" ht="15" customHeight="1" thickBot="1">
      <c r="A145" s="462"/>
      <c r="B145" s="463"/>
      <c r="C145" s="463"/>
      <c r="D145" s="463"/>
      <c r="E145" s="463"/>
      <c r="F145" s="464"/>
    </row>
    <row r="146" spans="1:6" ht="13.5" thickBot="1"/>
    <row r="147" spans="1:6" ht="13.5" customHeight="1" thickBot="1">
      <c r="B147" s="2" t="s">
        <v>182</v>
      </c>
      <c r="C147" s="2"/>
      <c r="D147" s="470" t="s">
        <v>1</v>
      </c>
      <c r="E147" s="471"/>
      <c r="F147" s="81">
        <v>0</v>
      </c>
    </row>
    <row r="148" spans="1:6" ht="13.5" thickBot="1"/>
    <row r="149" spans="1:6" ht="11.25" customHeight="1">
      <c r="A149" s="472" t="s">
        <v>276</v>
      </c>
      <c r="B149" s="473"/>
      <c r="C149" s="473"/>
      <c r="D149" s="473"/>
      <c r="E149" s="465" t="s">
        <v>2</v>
      </c>
      <c r="F149" s="466"/>
    </row>
    <row r="150" spans="1:6" ht="51.75" thickBot="1">
      <c r="A150" s="372" t="s">
        <v>716</v>
      </c>
      <c r="B150" s="84" t="s">
        <v>3</v>
      </c>
      <c r="C150" s="84" t="s">
        <v>4</v>
      </c>
      <c r="D150" s="84" t="s">
        <v>5</v>
      </c>
      <c r="E150" s="85" t="s">
        <v>6</v>
      </c>
      <c r="F150" s="86" t="s">
        <v>7</v>
      </c>
    </row>
    <row r="151" spans="1:6" ht="13.5" thickTop="1">
      <c r="A151" s="11">
        <v>1</v>
      </c>
      <c r="B151" s="135" t="s">
        <v>183</v>
      </c>
      <c r="C151" s="132" t="s">
        <v>34</v>
      </c>
      <c r="D151" s="88">
        <v>1.23</v>
      </c>
      <c r="E151" s="129">
        <v>17.579999999999998</v>
      </c>
      <c r="F151" s="72">
        <f>E151*D151</f>
        <v>21.623399999999997</v>
      </c>
    </row>
    <row r="152" spans="1:6">
      <c r="A152" s="17">
        <v>2</v>
      </c>
      <c r="B152" s="91" t="s">
        <v>13</v>
      </c>
      <c r="C152" s="133" t="s">
        <v>42</v>
      </c>
      <c r="D152" s="88">
        <v>1.23</v>
      </c>
      <c r="E152" s="134">
        <v>3.9</v>
      </c>
      <c r="F152" s="72">
        <f>E152*D152</f>
        <v>4.7969999999999997</v>
      </c>
    </row>
    <row r="153" spans="1:6">
      <c r="A153" s="17">
        <v>3</v>
      </c>
      <c r="B153" s="54" t="s">
        <v>8</v>
      </c>
      <c r="C153" s="133" t="s">
        <v>43</v>
      </c>
      <c r="D153" s="88">
        <v>1.23</v>
      </c>
      <c r="E153" s="134">
        <v>0.9</v>
      </c>
      <c r="F153" s="72">
        <f t="shared" ref="F153:F177" si="4">E153*D153</f>
        <v>1.107</v>
      </c>
    </row>
    <row r="154" spans="1:6">
      <c r="A154" s="17"/>
      <c r="B154" s="91" t="s">
        <v>69</v>
      </c>
      <c r="C154" s="133"/>
      <c r="D154" s="93">
        <v>0.34</v>
      </c>
      <c r="E154" s="134">
        <v>200</v>
      </c>
      <c r="F154" s="72">
        <f t="shared" si="4"/>
        <v>68</v>
      </c>
    </row>
    <row r="155" spans="1:6">
      <c r="A155" s="17">
        <v>4</v>
      </c>
      <c r="B155" s="95" t="s">
        <v>11</v>
      </c>
      <c r="C155" s="133" t="s">
        <v>43</v>
      </c>
      <c r="D155" s="88">
        <v>1.23</v>
      </c>
      <c r="E155" s="134">
        <v>1.1599999999999999</v>
      </c>
      <c r="F155" s="72">
        <f t="shared" si="4"/>
        <v>1.4267999999999998</v>
      </c>
    </row>
    <row r="156" spans="1:6">
      <c r="A156" s="17">
        <v>5</v>
      </c>
      <c r="B156" s="96" t="s">
        <v>12</v>
      </c>
      <c r="C156" s="133" t="s">
        <v>43</v>
      </c>
      <c r="D156" s="88">
        <v>1.23</v>
      </c>
      <c r="E156" s="134">
        <v>21.66</v>
      </c>
      <c r="F156" s="72">
        <f t="shared" si="4"/>
        <v>26.6418</v>
      </c>
    </row>
    <row r="157" spans="1:6">
      <c r="A157" s="17">
        <v>6</v>
      </c>
      <c r="B157" s="54" t="s">
        <v>8</v>
      </c>
      <c r="C157" s="133" t="s">
        <v>45</v>
      </c>
      <c r="D157" s="88">
        <v>1.23</v>
      </c>
      <c r="E157" s="134">
        <v>0.96</v>
      </c>
      <c r="F157" s="72">
        <f t="shared" si="4"/>
        <v>1.1807999999999998</v>
      </c>
    </row>
    <row r="158" spans="1:6">
      <c r="A158" s="17"/>
      <c r="B158" s="91" t="s">
        <v>19</v>
      </c>
      <c r="C158" s="133"/>
      <c r="D158" s="97">
        <v>0.26</v>
      </c>
      <c r="E158" s="134">
        <v>200</v>
      </c>
      <c r="F158" s="72">
        <f t="shared" si="4"/>
        <v>52</v>
      </c>
    </row>
    <row r="159" spans="1:6">
      <c r="A159" s="17">
        <v>7</v>
      </c>
      <c r="B159" s="95" t="s">
        <v>11</v>
      </c>
      <c r="C159" s="136" t="s">
        <v>45</v>
      </c>
      <c r="D159" s="88">
        <v>1.23</v>
      </c>
      <c r="E159" s="134">
        <v>1.1599999999999999</v>
      </c>
      <c r="F159" s="72">
        <f t="shared" si="4"/>
        <v>1.4267999999999998</v>
      </c>
    </row>
    <row r="160" spans="1:6">
      <c r="A160" s="17">
        <v>8</v>
      </c>
      <c r="B160" s="95" t="s">
        <v>44</v>
      </c>
      <c r="C160" s="133" t="s">
        <v>45</v>
      </c>
      <c r="D160" s="88">
        <v>1.23</v>
      </c>
      <c r="E160" s="134">
        <v>2.16</v>
      </c>
      <c r="F160" s="72">
        <f t="shared" si="4"/>
        <v>2.6568000000000001</v>
      </c>
    </row>
    <row r="161" spans="1:6">
      <c r="A161" s="17">
        <v>9</v>
      </c>
      <c r="B161" s="91" t="s">
        <v>15</v>
      </c>
      <c r="C161" s="136" t="s">
        <v>45</v>
      </c>
      <c r="D161" s="88">
        <v>1.23</v>
      </c>
      <c r="E161" s="134">
        <v>0.24</v>
      </c>
      <c r="F161" s="72">
        <f t="shared" si="4"/>
        <v>0.29519999999999996</v>
      </c>
    </row>
    <row r="162" spans="1:6">
      <c r="A162" s="17"/>
      <c r="B162" s="91" t="s">
        <v>16</v>
      </c>
      <c r="C162" s="133"/>
      <c r="D162" s="137">
        <v>12.11</v>
      </c>
      <c r="E162" s="134">
        <v>95</v>
      </c>
      <c r="F162" s="130">
        <f t="shared" si="4"/>
        <v>1150.45</v>
      </c>
    </row>
    <row r="163" spans="1:6">
      <c r="A163" s="17">
        <v>10</v>
      </c>
      <c r="B163" s="91" t="s">
        <v>17</v>
      </c>
      <c r="C163" s="133" t="s">
        <v>45</v>
      </c>
      <c r="D163" s="88">
        <v>1.23</v>
      </c>
      <c r="E163" s="134">
        <v>1.8</v>
      </c>
      <c r="F163" s="72">
        <f t="shared" si="4"/>
        <v>2.214</v>
      </c>
    </row>
    <row r="164" spans="1:6">
      <c r="A164" s="17">
        <v>11</v>
      </c>
      <c r="B164" s="96" t="s">
        <v>20</v>
      </c>
      <c r="C164" s="133" t="s">
        <v>45</v>
      </c>
      <c r="D164" s="88">
        <v>1.23</v>
      </c>
      <c r="E164" s="134">
        <v>0.96</v>
      </c>
      <c r="F164" s="72">
        <f t="shared" si="4"/>
        <v>1.1807999999999998</v>
      </c>
    </row>
    <row r="165" spans="1:6">
      <c r="A165" s="17">
        <v>12</v>
      </c>
      <c r="B165" s="96" t="s">
        <v>83</v>
      </c>
      <c r="C165" s="133" t="s">
        <v>45</v>
      </c>
      <c r="D165" s="88">
        <v>1.23</v>
      </c>
      <c r="E165" s="134">
        <v>0.92</v>
      </c>
      <c r="F165" s="72">
        <f t="shared" si="4"/>
        <v>1.1315999999999999</v>
      </c>
    </row>
    <row r="166" spans="1:6">
      <c r="A166" s="17"/>
      <c r="B166" s="96" t="s">
        <v>613</v>
      </c>
      <c r="C166" s="133"/>
      <c r="D166" s="174">
        <v>11.95</v>
      </c>
      <c r="E166" s="134">
        <v>3</v>
      </c>
      <c r="F166" s="72">
        <f t="shared" si="4"/>
        <v>35.849999999999994</v>
      </c>
    </row>
    <row r="167" spans="1:6">
      <c r="A167" s="17">
        <v>13</v>
      </c>
      <c r="B167" s="95" t="s">
        <v>77</v>
      </c>
      <c r="C167" s="136" t="s">
        <v>21</v>
      </c>
      <c r="D167" s="88">
        <v>1.23</v>
      </c>
      <c r="E167" s="134">
        <v>1.6</v>
      </c>
      <c r="F167" s="72">
        <f t="shared" si="4"/>
        <v>1.968</v>
      </c>
    </row>
    <row r="168" spans="1:6">
      <c r="A168" s="17">
        <v>14</v>
      </c>
      <c r="B168" s="96" t="s">
        <v>22</v>
      </c>
      <c r="C168" s="136" t="s">
        <v>21</v>
      </c>
      <c r="D168" s="88">
        <v>1.23</v>
      </c>
      <c r="E168" s="134">
        <v>0.92</v>
      </c>
      <c r="F168" s="72">
        <f t="shared" si="4"/>
        <v>1.1315999999999999</v>
      </c>
    </row>
    <row r="169" spans="1:6">
      <c r="A169" s="17"/>
      <c r="B169" s="95" t="s">
        <v>161</v>
      </c>
      <c r="C169" s="136"/>
      <c r="D169" s="197">
        <v>26.65</v>
      </c>
      <c r="E169" s="134">
        <v>1.2</v>
      </c>
      <c r="F169" s="72">
        <f t="shared" si="4"/>
        <v>31.979999999999997</v>
      </c>
    </row>
    <row r="170" spans="1:6">
      <c r="A170" s="17">
        <v>15</v>
      </c>
      <c r="B170" s="95" t="s">
        <v>134</v>
      </c>
      <c r="C170" s="136" t="s">
        <v>21</v>
      </c>
      <c r="D170" s="88">
        <v>1.23</v>
      </c>
      <c r="E170" s="134">
        <v>40</v>
      </c>
      <c r="F170" s="72">
        <f t="shared" si="4"/>
        <v>49.2</v>
      </c>
    </row>
    <row r="171" spans="1:6">
      <c r="A171" s="17">
        <v>16</v>
      </c>
      <c r="B171" s="95" t="s">
        <v>53</v>
      </c>
      <c r="C171" s="133" t="s">
        <v>54</v>
      </c>
      <c r="D171" s="88">
        <v>1.23</v>
      </c>
      <c r="E171" s="134">
        <v>1.6</v>
      </c>
      <c r="F171" s="72">
        <f t="shared" si="4"/>
        <v>1.968</v>
      </c>
    </row>
    <row r="172" spans="1:6">
      <c r="A172" s="17">
        <v>17</v>
      </c>
      <c r="B172" s="96" t="s">
        <v>48</v>
      </c>
      <c r="C172" s="133" t="s">
        <v>54</v>
      </c>
      <c r="D172" s="88">
        <v>1.23</v>
      </c>
      <c r="E172" s="134">
        <f>0.92*2</f>
        <v>1.84</v>
      </c>
      <c r="F172" s="72">
        <f t="shared" si="4"/>
        <v>2.2631999999999999</v>
      </c>
    </row>
    <row r="173" spans="1:6">
      <c r="A173" s="17"/>
      <c r="B173" s="95" t="s">
        <v>184</v>
      </c>
      <c r="C173" s="133"/>
      <c r="D173" s="104">
        <v>6.46</v>
      </c>
      <c r="E173" s="134">
        <v>2.5</v>
      </c>
      <c r="F173" s="72">
        <f t="shared" si="4"/>
        <v>16.149999999999999</v>
      </c>
    </row>
    <row r="174" spans="1:6">
      <c r="A174" s="17"/>
      <c r="B174" s="95" t="s">
        <v>185</v>
      </c>
      <c r="C174" s="133"/>
      <c r="D174" s="104">
        <v>26.24</v>
      </c>
      <c r="E174" s="134">
        <v>0.3</v>
      </c>
      <c r="F174" s="72">
        <f t="shared" si="4"/>
        <v>7.871999999999999</v>
      </c>
    </row>
    <row r="175" spans="1:6">
      <c r="A175" s="17"/>
      <c r="B175" s="95" t="s">
        <v>92</v>
      </c>
      <c r="C175" s="133"/>
      <c r="D175" s="197">
        <v>26.65</v>
      </c>
      <c r="E175" s="134">
        <v>1.2</v>
      </c>
      <c r="F175" s="72">
        <f t="shared" si="4"/>
        <v>31.979999999999997</v>
      </c>
    </row>
    <row r="176" spans="1:6">
      <c r="A176" s="17">
        <v>18</v>
      </c>
      <c r="B176" s="95" t="s">
        <v>186</v>
      </c>
      <c r="C176" s="136" t="s">
        <v>26</v>
      </c>
      <c r="D176" s="104"/>
      <c r="E176" s="134">
        <v>0</v>
      </c>
      <c r="F176" s="72">
        <f t="shared" si="4"/>
        <v>0</v>
      </c>
    </row>
    <row r="177" spans="1:7" ht="13.5" thickBot="1">
      <c r="A177" s="30">
        <v>19</v>
      </c>
      <c r="B177" s="105" t="s">
        <v>187</v>
      </c>
      <c r="C177" s="140" t="s">
        <v>26</v>
      </c>
      <c r="D177" s="208">
        <v>1.23</v>
      </c>
      <c r="E177" s="271">
        <v>12</v>
      </c>
      <c r="F177" s="206">
        <f t="shared" si="4"/>
        <v>14.76</v>
      </c>
    </row>
    <row r="178" spans="1:7" ht="12.75" customHeight="1">
      <c r="A178" s="454" t="s">
        <v>30</v>
      </c>
      <c r="B178" s="455"/>
      <c r="C178" s="110"/>
      <c r="D178" s="175"/>
      <c r="E178" s="129"/>
      <c r="F178" s="130">
        <f>SUM(F151:F177)</f>
        <v>1531.2548000000004</v>
      </c>
      <c r="G178" s="212">
        <f>F147*F178</f>
        <v>0</v>
      </c>
    </row>
    <row r="179" spans="1:7" ht="13.5" customHeight="1" thickBot="1">
      <c r="A179" s="467" t="s">
        <v>31</v>
      </c>
      <c r="B179" s="468"/>
      <c r="C179" s="469"/>
      <c r="D179" s="144"/>
      <c r="E179" s="116">
        <f>E151+E152+E153+E155+E156+E157+E159+E160+E161+E163+E164+E165+E167+E168+E170+E171+E172+E177</f>
        <v>111.35999999999999</v>
      </c>
      <c r="F179" s="206"/>
      <c r="G179" s="118" t="s">
        <v>277</v>
      </c>
    </row>
    <row r="180" spans="1:7" ht="13.5" thickBot="1"/>
    <row r="181" spans="1:7" ht="12" customHeight="1">
      <c r="A181" s="456" t="s">
        <v>665</v>
      </c>
      <c r="B181" s="457"/>
      <c r="C181" s="457"/>
      <c r="D181" s="457"/>
      <c r="E181" s="457"/>
      <c r="F181" s="458"/>
    </row>
    <row r="182" spans="1:7" ht="15" customHeight="1">
      <c r="A182" s="459"/>
      <c r="B182" s="460"/>
      <c r="C182" s="460"/>
      <c r="D182" s="460"/>
      <c r="E182" s="460"/>
      <c r="F182" s="461"/>
    </row>
    <row r="183" spans="1:7" ht="15" customHeight="1">
      <c r="A183" s="459"/>
      <c r="B183" s="460"/>
      <c r="C183" s="460"/>
      <c r="D183" s="460"/>
      <c r="E183" s="460"/>
      <c r="F183" s="461"/>
    </row>
    <row r="184" spans="1:7" ht="15" customHeight="1" thickBot="1">
      <c r="A184" s="462"/>
      <c r="B184" s="463"/>
      <c r="C184" s="463"/>
      <c r="D184" s="463"/>
      <c r="E184" s="463"/>
      <c r="F184" s="464"/>
    </row>
    <row r="185" spans="1:7" ht="13.5" thickBot="1"/>
    <row r="186" spans="1:7" ht="13.5" customHeight="1" thickBot="1">
      <c r="B186" s="2" t="s">
        <v>188</v>
      </c>
      <c r="C186" s="2"/>
      <c r="D186" s="470" t="s">
        <v>1</v>
      </c>
      <c r="E186" s="471"/>
      <c r="F186" s="81">
        <v>0</v>
      </c>
    </row>
    <row r="187" spans="1:7" ht="13.5" thickBot="1"/>
    <row r="188" spans="1:7" ht="11.25" customHeight="1">
      <c r="A188" s="472" t="s">
        <v>276</v>
      </c>
      <c r="B188" s="473"/>
      <c r="C188" s="473"/>
      <c r="D188" s="473"/>
      <c r="E188" s="465" t="s">
        <v>2</v>
      </c>
      <c r="F188" s="466"/>
    </row>
    <row r="189" spans="1:7" ht="51.75" thickBot="1">
      <c r="A189" s="372" t="s">
        <v>716</v>
      </c>
      <c r="B189" s="84" t="s">
        <v>3</v>
      </c>
      <c r="C189" s="84" t="s">
        <v>4</v>
      </c>
      <c r="D189" s="84" t="s">
        <v>5</v>
      </c>
      <c r="E189" s="85" t="s">
        <v>6</v>
      </c>
      <c r="F189" s="86" t="s">
        <v>7</v>
      </c>
    </row>
    <row r="190" spans="1:7" ht="13.5" thickTop="1">
      <c r="A190" s="11">
        <v>1</v>
      </c>
      <c r="B190" s="54" t="s">
        <v>39</v>
      </c>
      <c r="C190" s="132" t="s">
        <v>34</v>
      </c>
      <c r="D190" s="88">
        <v>1.23</v>
      </c>
      <c r="E190" s="129">
        <v>11.32</v>
      </c>
      <c r="F190" s="130">
        <f>E190*D190</f>
        <v>13.9236</v>
      </c>
    </row>
    <row r="191" spans="1:7">
      <c r="A191" s="17">
        <v>2</v>
      </c>
      <c r="B191" s="96" t="s">
        <v>40</v>
      </c>
      <c r="C191" s="133" t="s">
        <v>34</v>
      </c>
      <c r="D191" s="88">
        <v>1.23</v>
      </c>
      <c r="E191" s="134">
        <v>60</v>
      </c>
      <c r="F191" s="58">
        <f>E191*D191</f>
        <v>73.8</v>
      </c>
    </row>
    <row r="192" spans="1:7">
      <c r="A192" s="17">
        <v>3</v>
      </c>
      <c r="B192" s="135" t="s">
        <v>183</v>
      </c>
      <c r="C192" s="133" t="s">
        <v>34</v>
      </c>
      <c r="D192" s="88">
        <v>1.23</v>
      </c>
      <c r="E192" s="134">
        <v>17.579999999999998</v>
      </c>
      <c r="F192" s="58">
        <f t="shared" ref="F192:F213" si="5">E192*D192</f>
        <v>21.623399999999997</v>
      </c>
    </row>
    <row r="193" spans="1:6">
      <c r="A193" s="17">
        <v>4</v>
      </c>
      <c r="B193" s="91" t="s">
        <v>13</v>
      </c>
      <c r="C193" s="133" t="s">
        <v>42</v>
      </c>
      <c r="D193" s="88">
        <v>1.23</v>
      </c>
      <c r="E193" s="134">
        <v>3.9</v>
      </c>
      <c r="F193" s="58">
        <f t="shared" si="5"/>
        <v>4.7969999999999997</v>
      </c>
    </row>
    <row r="194" spans="1:6">
      <c r="A194" s="17">
        <v>5</v>
      </c>
      <c r="B194" s="54" t="s">
        <v>8</v>
      </c>
      <c r="C194" s="133" t="s">
        <v>43</v>
      </c>
      <c r="D194" s="88">
        <v>1.23</v>
      </c>
      <c r="E194" s="134">
        <v>1.32</v>
      </c>
      <c r="F194" s="58">
        <f t="shared" si="5"/>
        <v>1.6236000000000002</v>
      </c>
    </row>
    <row r="195" spans="1:6">
      <c r="A195" s="17"/>
      <c r="B195" s="91" t="s">
        <v>69</v>
      </c>
      <c r="C195" s="133"/>
      <c r="D195" s="93">
        <v>0.34</v>
      </c>
      <c r="E195" s="134">
        <v>500</v>
      </c>
      <c r="F195" s="58">
        <f t="shared" si="5"/>
        <v>170</v>
      </c>
    </row>
    <row r="196" spans="1:6">
      <c r="A196" s="17">
        <v>6</v>
      </c>
      <c r="B196" s="95" t="s">
        <v>11</v>
      </c>
      <c r="C196" s="133" t="s">
        <v>43</v>
      </c>
      <c r="D196" s="88">
        <v>1.23</v>
      </c>
      <c r="E196" s="134">
        <v>1.1599999999999999</v>
      </c>
      <c r="F196" s="58">
        <f t="shared" si="5"/>
        <v>1.4267999999999998</v>
      </c>
    </row>
    <row r="197" spans="1:6">
      <c r="A197" s="17">
        <v>7</v>
      </c>
      <c r="B197" s="96" t="s">
        <v>12</v>
      </c>
      <c r="C197" s="136" t="s">
        <v>43</v>
      </c>
      <c r="D197" s="88">
        <v>1.23</v>
      </c>
      <c r="E197" s="134">
        <v>21.66</v>
      </c>
      <c r="F197" s="58">
        <f t="shared" si="5"/>
        <v>26.6418</v>
      </c>
    </row>
    <row r="198" spans="1:6">
      <c r="A198" s="17">
        <v>8</v>
      </c>
      <c r="B198" s="54" t="s">
        <v>8</v>
      </c>
      <c r="C198" s="136" t="s">
        <v>70</v>
      </c>
      <c r="D198" s="88">
        <v>1.23</v>
      </c>
      <c r="E198" s="134">
        <v>1.38</v>
      </c>
      <c r="F198" s="58">
        <f t="shared" si="5"/>
        <v>1.6973999999999998</v>
      </c>
    </row>
    <row r="199" spans="1:6">
      <c r="A199" s="17"/>
      <c r="B199" s="91" t="s">
        <v>19</v>
      </c>
      <c r="C199" s="136"/>
      <c r="D199" s="97">
        <v>0.26</v>
      </c>
      <c r="E199" s="134">
        <v>300</v>
      </c>
      <c r="F199" s="58">
        <f t="shared" si="5"/>
        <v>78</v>
      </c>
    </row>
    <row r="200" spans="1:6">
      <c r="A200" s="17">
        <v>9</v>
      </c>
      <c r="B200" s="95" t="s">
        <v>11</v>
      </c>
      <c r="C200" s="136" t="s">
        <v>70</v>
      </c>
      <c r="D200" s="88">
        <v>1.23</v>
      </c>
      <c r="E200" s="134">
        <v>1.1599999999999999</v>
      </c>
      <c r="F200" s="58">
        <f t="shared" si="5"/>
        <v>1.4267999999999998</v>
      </c>
    </row>
    <row r="201" spans="1:6">
      <c r="A201" s="17">
        <v>10</v>
      </c>
      <c r="B201" s="95" t="s">
        <v>44</v>
      </c>
      <c r="C201" s="136" t="s">
        <v>70</v>
      </c>
      <c r="D201" s="88">
        <v>1.23</v>
      </c>
      <c r="E201" s="134">
        <v>2.16</v>
      </c>
      <c r="F201" s="58">
        <f t="shared" si="5"/>
        <v>2.6568000000000001</v>
      </c>
    </row>
    <row r="202" spans="1:6">
      <c r="A202" s="17"/>
      <c r="B202" s="91" t="s">
        <v>16</v>
      </c>
      <c r="C202" s="133"/>
      <c r="D202" s="139">
        <v>1.61</v>
      </c>
      <c r="E202" s="134">
        <v>600</v>
      </c>
      <c r="F202" s="58">
        <f t="shared" si="5"/>
        <v>966.00000000000011</v>
      </c>
    </row>
    <row r="203" spans="1:6">
      <c r="A203" s="17">
        <v>11</v>
      </c>
      <c r="B203" s="91" t="s">
        <v>17</v>
      </c>
      <c r="C203" s="133" t="s">
        <v>70</v>
      </c>
      <c r="D203" s="88">
        <v>1.23</v>
      </c>
      <c r="E203" s="134">
        <v>2.76</v>
      </c>
      <c r="F203" s="58">
        <f t="shared" si="5"/>
        <v>3.3947999999999996</v>
      </c>
    </row>
    <row r="204" spans="1:6">
      <c r="A204" s="17">
        <v>12</v>
      </c>
      <c r="B204" s="96" t="s">
        <v>369</v>
      </c>
      <c r="C204" s="133" t="s">
        <v>189</v>
      </c>
      <c r="D204" s="88">
        <v>1.23</v>
      </c>
      <c r="E204" s="134">
        <v>5.76</v>
      </c>
      <c r="F204" s="58">
        <f t="shared" si="5"/>
        <v>7.0847999999999995</v>
      </c>
    </row>
    <row r="205" spans="1:6">
      <c r="A205" s="17">
        <v>13</v>
      </c>
      <c r="B205" s="96" t="s">
        <v>206</v>
      </c>
      <c r="C205" s="133" t="s">
        <v>189</v>
      </c>
      <c r="D205" s="88">
        <v>1.23</v>
      </c>
      <c r="E205" s="134">
        <v>5.52</v>
      </c>
      <c r="F205" s="58">
        <f t="shared" si="5"/>
        <v>6.7895999999999992</v>
      </c>
    </row>
    <row r="206" spans="1:6">
      <c r="A206" s="17"/>
      <c r="B206" s="96" t="s">
        <v>190</v>
      </c>
      <c r="C206" s="133"/>
      <c r="D206" s="88">
        <v>44.09</v>
      </c>
      <c r="E206" s="134">
        <v>2</v>
      </c>
      <c r="F206" s="58">
        <f t="shared" si="5"/>
        <v>88.18</v>
      </c>
    </row>
    <row r="207" spans="1:6">
      <c r="A207" s="17"/>
      <c r="B207" s="162" t="s">
        <v>74</v>
      </c>
      <c r="C207" s="163"/>
      <c r="D207" s="197">
        <v>26.65</v>
      </c>
      <c r="E207" s="134">
        <v>1.2</v>
      </c>
      <c r="F207" s="58">
        <f t="shared" si="5"/>
        <v>31.979999999999997</v>
      </c>
    </row>
    <row r="208" spans="1:6">
      <c r="A208" s="17"/>
      <c r="B208" s="96" t="s">
        <v>191</v>
      </c>
      <c r="C208" s="136"/>
      <c r="D208" s="137">
        <v>8.8800000000000008</v>
      </c>
      <c r="E208" s="134">
        <v>5</v>
      </c>
      <c r="F208" s="58">
        <f t="shared" si="5"/>
        <v>44.400000000000006</v>
      </c>
    </row>
    <row r="209" spans="1:7">
      <c r="A209" s="17"/>
      <c r="B209" s="162" t="s">
        <v>208</v>
      </c>
      <c r="C209" s="136"/>
      <c r="D209" s="218">
        <v>22.64</v>
      </c>
      <c r="E209" s="134">
        <v>4</v>
      </c>
      <c r="F209" s="58">
        <f t="shared" si="5"/>
        <v>90.56</v>
      </c>
    </row>
    <row r="210" spans="1:7">
      <c r="A210" s="17">
        <v>14</v>
      </c>
      <c r="B210" s="95" t="s">
        <v>169</v>
      </c>
      <c r="C210" s="133" t="s">
        <v>193</v>
      </c>
      <c r="D210" s="88">
        <v>1.23</v>
      </c>
      <c r="E210" s="134">
        <f>2.76*2</f>
        <v>5.52</v>
      </c>
      <c r="F210" s="58">
        <f t="shared" si="5"/>
        <v>6.7895999999999992</v>
      </c>
    </row>
    <row r="211" spans="1:7">
      <c r="A211" s="17">
        <v>15</v>
      </c>
      <c r="B211" s="95" t="s">
        <v>134</v>
      </c>
      <c r="C211" s="133" t="s">
        <v>21</v>
      </c>
      <c r="D211" s="88">
        <v>1.23</v>
      </c>
      <c r="E211" s="134">
        <v>40</v>
      </c>
      <c r="F211" s="58">
        <f t="shared" si="5"/>
        <v>49.2</v>
      </c>
    </row>
    <row r="212" spans="1:7">
      <c r="A212" s="17">
        <v>16</v>
      </c>
      <c r="B212" s="95" t="s">
        <v>194</v>
      </c>
      <c r="C212" s="136" t="s">
        <v>34</v>
      </c>
      <c r="D212" s="88">
        <v>1.23</v>
      </c>
      <c r="E212" s="134">
        <v>11.6</v>
      </c>
      <c r="F212" s="58">
        <f t="shared" si="5"/>
        <v>14.267999999999999</v>
      </c>
    </row>
    <row r="213" spans="1:7" ht="13.5" thickBot="1">
      <c r="A213" s="30">
        <v>17</v>
      </c>
      <c r="B213" s="105" t="s">
        <v>195</v>
      </c>
      <c r="C213" s="140" t="s">
        <v>34</v>
      </c>
      <c r="D213" s="208">
        <v>1.23</v>
      </c>
      <c r="E213" s="271">
        <v>25</v>
      </c>
      <c r="F213" s="68">
        <f t="shared" si="5"/>
        <v>30.75</v>
      </c>
    </row>
    <row r="214" spans="1:7" ht="12.75" customHeight="1">
      <c r="A214" s="454" t="s">
        <v>30</v>
      </c>
      <c r="B214" s="455"/>
      <c r="C214" s="110"/>
      <c r="D214" s="88"/>
      <c r="E214" s="129"/>
      <c r="F214" s="130">
        <f>SUM(F190:F213)</f>
        <v>1737.0140000000006</v>
      </c>
      <c r="G214" s="212">
        <f>F186*F214</f>
        <v>0</v>
      </c>
    </row>
    <row r="215" spans="1:7" ht="13.5" customHeight="1" thickBot="1">
      <c r="A215" s="467" t="s">
        <v>31</v>
      </c>
      <c r="B215" s="468"/>
      <c r="C215" s="469"/>
      <c r="D215" s="142"/>
      <c r="E215" s="116">
        <f>E190+E191+E192+E193+E194+E196+E197+E198+E200+E201+E203+E204+E205+E210+E211+E212+E213</f>
        <v>217.79999999999998</v>
      </c>
      <c r="F215" s="68"/>
      <c r="G215" s="118" t="s">
        <v>277</v>
      </c>
    </row>
    <row r="216" spans="1:7" ht="13.5" thickBot="1"/>
    <row r="217" spans="1:7" ht="12" customHeight="1">
      <c r="A217" s="456" t="s">
        <v>687</v>
      </c>
      <c r="B217" s="457"/>
      <c r="C217" s="457"/>
      <c r="D217" s="457"/>
      <c r="E217" s="457"/>
      <c r="F217" s="458"/>
    </row>
    <row r="218" spans="1:7" ht="15" customHeight="1">
      <c r="A218" s="459"/>
      <c r="B218" s="460"/>
      <c r="C218" s="460"/>
      <c r="D218" s="460"/>
      <c r="E218" s="460"/>
      <c r="F218" s="461"/>
    </row>
    <row r="219" spans="1:7" ht="15" customHeight="1">
      <c r="A219" s="459"/>
      <c r="B219" s="460"/>
      <c r="C219" s="460"/>
      <c r="D219" s="460"/>
      <c r="E219" s="460"/>
      <c r="F219" s="461"/>
    </row>
    <row r="220" spans="1:7" ht="15" customHeight="1" thickBot="1">
      <c r="A220" s="462"/>
      <c r="B220" s="463"/>
      <c r="C220" s="463"/>
      <c r="D220" s="463"/>
      <c r="E220" s="463"/>
      <c r="F220" s="464"/>
    </row>
    <row r="221" spans="1:7" ht="13.5" thickBot="1"/>
    <row r="222" spans="1:7" ht="13.5" thickBot="1">
      <c r="B222" s="2" t="s">
        <v>196</v>
      </c>
      <c r="C222" s="2"/>
      <c r="D222" s="470" t="s">
        <v>1</v>
      </c>
      <c r="E222" s="471"/>
      <c r="F222" s="81">
        <v>0</v>
      </c>
    </row>
    <row r="223" spans="1:7" ht="11.25" customHeight="1" thickBot="1"/>
    <row r="224" spans="1:7" ht="11.25" customHeight="1">
      <c r="A224" s="472" t="s">
        <v>276</v>
      </c>
      <c r="B224" s="473"/>
      <c r="C224" s="473"/>
      <c r="D224" s="473"/>
      <c r="E224" s="465" t="s">
        <v>2</v>
      </c>
      <c r="F224" s="466"/>
    </row>
    <row r="225" spans="1:6" ht="51.75" thickBot="1">
      <c r="A225" s="372" t="s">
        <v>716</v>
      </c>
      <c r="B225" s="84" t="s">
        <v>3</v>
      </c>
      <c r="C225" s="84" t="s">
        <v>4</v>
      </c>
      <c r="D225" s="84" t="s">
        <v>5</v>
      </c>
      <c r="E225" s="85" t="s">
        <v>6</v>
      </c>
      <c r="F225" s="86" t="s">
        <v>7</v>
      </c>
    </row>
    <row r="226" spans="1:6" ht="13.5" thickTop="1">
      <c r="A226" s="184">
        <v>1</v>
      </c>
      <c r="B226" s="224" t="s">
        <v>183</v>
      </c>
      <c r="C226" s="185" t="s">
        <v>34</v>
      </c>
      <c r="D226" s="88">
        <v>1.23</v>
      </c>
      <c r="E226" s="186">
        <v>17.579999999999998</v>
      </c>
      <c r="F226" s="187">
        <f>(E226*D226)</f>
        <v>21.623399999999997</v>
      </c>
    </row>
    <row r="227" spans="1:6">
      <c r="A227" s="184">
        <v>2</v>
      </c>
      <c r="B227" s="54" t="s">
        <v>39</v>
      </c>
      <c r="C227" s="185" t="s">
        <v>96</v>
      </c>
      <c r="D227" s="88">
        <v>1.23</v>
      </c>
      <c r="E227" s="186">
        <v>15.08</v>
      </c>
      <c r="F227" s="187">
        <f>(E227*D227)</f>
        <v>18.548400000000001</v>
      </c>
    </row>
    <row r="228" spans="1:6">
      <c r="A228" s="184">
        <v>3</v>
      </c>
      <c r="B228" s="96" t="s">
        <v>40</v>
      </c>
      <c r="C228" s="185" t="s">
        <v>96</v>
      </c>
      <c r="D228" s="88">
        <v>1.23</v>
      </c>
      <c r="E228" s="186">
        <v>90</v>
      </c>
      <c r="F228" s="187">
        <f t="shared" ref="F228:F264" si="6">(E228*D228)</f>
        <v>110.7</v>
      </c>
    </row>
    <row r="229" spans="1:6">
      <c r="A229" s="184">
        <v>4</v>
      </c>
      <c r="B229" s="96" t="s">
        <v>12</v>
      </c>
      <c r="C229" s="185" t="s">
        <v>96</v>
      </c>
      <c r="D229" s="88">
        <v>1.23</v>
      </c>
      <c r="E229" s="186">
        <v>21.66</v>
      </c>
      <c r="F229" s="187">
        <f t="shared" si="6"/>
        <v>26.6418</v>
      </c>
    </row>
    <row r="230" spans="1:6">
      <c r="A230" s="184">
        <v>5</v>
      </c>
      <c r="B230" s="54" t="s">
        <v>8</v>
      </c>
      <c r="C230" s="185" t="s">
        <v>43</v>
      </c>
      <c r="D230" s="88">
        <v>1.23</v>
      </c>
      <c r="E230" s="186">
        <v>2.16</v>
      </c>
      <c r="F230" s="187">
        <f t="shared" si="6"/>
        <v>2.6568000000000001</v>
      </c>
    </row>
    <row r="231" spans="1:6">
      <c r="A231" s="184"/>
      <c r="B231" s="91" t="s">
        <v>69</v>
      </c>
      <c r="C231" s="185"/>
      <c r="D231" s="93">
        <v>0.34</v>
      </c>
      <c r="E231" s="186">
        <v>500</v>
      </c>
      <c r="F231" s="187">
        <f t="shared" si="6"/>
        <v>170</v>
      </c>
    </row>
    <row r="232" spans="1:6">
      <c r="A232" s="184">
        <v>6</v>
      </c>
      <c r="B232" s="95" t="s">
        <v>11</v>
      </c>
      <c r="C232" s="185" t="s">
        <v>43</v>
      </c>
      <c r="D232" s="88">
        <v>1.23</v>
      </c>
      <c r="E232" s="186">
        <v>1.1599999999999999</v>
      </c>
      <c r="F232" s="187">
        <f t="shared" si="6"/>
        <v>1.4267999999999998</v>
      </c>
    </row>
    <row r="233" spans="1:6">
      <c r="A233" s="184">
        <v>7</v>
      </c>
      <c r="B233" s="96" t="s">
        <v>12</v>
      </c>
      <c r="C233" s="185" t="s">
        <v>43</v>
      </c>
      <c r="D233" s="88">
        <v>1.23</v>
      </c>
      <c r="E233" s="186">
        <v>21.66</v>
      </c>
      <c r="F233" s="187">
        <f t="shared" si="6"/>
        <v>26.6418</v>
      </c>
    </row>
    <row r="234" spans="1:6">
      <c r="A234" s="184"/>
      <c r="B234" s="96" t="s">
        <v>16</v>
      </c>
      <c r="C234" s="185" t="s">
        <v>18</v>
      </c>
      <c r="D234" s="188">
        <v>57.93</v>
      </c>
      <c r="E234" s="186">
        <v>4</v>
      </c>
      <c r="F234" s="187">
        <f t="shared" si="6"/>
        <v>231.72</v>
      </c>
    </row>
    <row r="235" spans="1:6">
      <c r="A235" s="184">
        <v>8</v>
      </c>
      <c r="B235" s="96" t="s">
        <v>128</v>
      </c>
      <c r="C235" s="185" t="s">
        <v>129</v>
      </c>
      <c r="D235" s="189"/>
      <c r="E235" s="186">
        <v>0</v>
      </c>
      <c r="F235" s="187">
        <f t="shared" si="6"/>
        <v>0</v>
      </c>
    </row>
    <row r="236" spans="1:6">
      <c r="A236" s="184"/>
      <c r="B236" s="96" t="s">
        <v>197</v>
      </c>
      <c r="C236" s="185"/>
      <c r="D236" s="190">
        <v>8.8800000000000008</v>
      </c>
      <c r="E236" s="186">
        <v>2.5000000000000001E-3</v>
      </c>
      <c r="F236" s="187">
        <f t="shared" si="6"/>
        <v>2.2200000000000001E-2</v>
      </c>
    </row>
    <row r="237" spans="1:6">
      <c r="A237" s="184"/>
      <c r="B237" s="96" t="s">
        <v>24</v>
      </c>
      <c r="C237" s="185"/>
      <c r="D237" s="189">
        <v>26.24</v>
      </c>
      <c r="E237" s="186">
        <v>1E-3</v>
      </c>
      <c r="F237" s="187">
        <f t="shared" si="6"/>
        <v>2.6239999999999999E-2</v>
      </c>
    </row>
    <row r="238" spans="1:6">
      <c r="A238" s="184">
        <v>9</v>
      </c>
      <c r="B238" s="54" t="s">
        <v>8</v>
      </c>
      <c r="C238" s="185" t="s">
        <v>45</v>
      </c>
      <c r="D238" s="88">
        <v>1.23</v>
      </c>
      <c r="E238" s="186">
        <v>1.38</v>
      </c>
      <c r="F238" s="187">
        <f t="shared" si="6"/>
        <v>1.6973999999999998</v>
      </c>
    </row>
    <row r="239" spans="1:6">
      <c r="A239" s="184"/>
      <c r="B239" s="91" t="s">
        <v>19</v>
      </c>
      <c r="C239" s="185"/>
      <c r="D239" s="97">
        <v>0.26</v>
      </c>
      <c r="E239" s="186">
        <v>300</v>
      </c>
      <c r="F239" s="187">
        <f t="shared" si="6"/>
        <v>78</v>
      </c>
    </row>
    <row r="240" spans="1:6">
      <c r="A240" s="184">
        <v>10</v>
      </c>
      <c r="B240" s="95" t="s">
        <v>11</v>
      </c>
      <c r="C240" s="185" t="s">
        <v>45</v>
      </c>
      <c r="D240" s="88">
        <v>1.23</v>
      </c>
      <c r="E240" s="186">
        <v>1.1599999999999999</v>
      </c>
      <c r="F240" s="187">
        <f t="shared" si="6"/>
        <v>1.4267999999999998</v>
      </c>
    </row>
    <row r="241" spans="1:6">
      <c r="A241" s="184">
        <v>11</v>
      </c>
      <c r="B241" s="96" t="s">
        <v>83</v>
      </c>
      <c r="C241" s="185" t="s">
        <v>45</v>
      </c>
      <c r="D241" s="88">
        <v>1.23</v>
      </c>
      <c r="E241" s="186">
        <v>0.92</v>
      </c>
      <c r="F241" s="187">
        <f t="shared" si="6"/>
        <v>1.1315999999999999</v>
      </c>
    </row>
    <row r="242" spans="1:6">
      <c r="A242" s="184"/>
      <c r="B242" s="191" t="s">
        <v>227</v>
      </c>
      <c r="C242" s="185"/>
      <c r="D242" s="190">
        <v>56.52</v>
      </c>
      <c r="E242" s="186">
        <v>0.5</v>
      </c>
      <c r="F242" s="187">
        <f t="shared" si="6"/>
        <v>28.26</v>
      </c>
    </row>
    <row r="243" spans="1:6">
      <c r="A243" s="184">
        <v>12</v>
      </c>
      <c r="B243" s="95" t="s">
        <v>44</v>
      </c>
      <c r="C243" s="185" t="s">
        <v>45</v>
      </c>
      <c r="D243" s="88">
        <v>1.23</v>
      </c>
      <c r="E243" s="186">
        <v>2.16</v>
      </c>
      <c r="F243" s="187">
        <f t="shared" si="6"/>
        <v>2.6568000000000001</v>
      </c>
    </row>
    <row r="244" spans="1:6">
      <c r="A244" s="184">
        <v>13</v>
      </c>
      <c r="B244" s="191" t="s">
        <v>198</v>
      </c>
      <c r="C244" s="185" t="s">
        <v>21</v>
      </c>
      <c r="D244" s="88">
        <v>1.23</v>
      </c>
      <c r="E244" s="186">
        <v>25.48</v>
      </c>
      <c r="F244" s="187">
        <f t="shared" si="6"/>
        <v>31.340399999999999</v>
      </c>
    </row>
    <row r="245" spans="1:6">
      <c r="A245" s="184">
        <v>14</v>
      </c>
      <c r="B245" s="191" t="s">
        <v>199</v>
      </c>
      <c r="C245" s="185" t="s">
        <v>21</v>
      </c>
      <c r="D245" s="88">
        <v>1.23</v>
      </c>
      <c r="E245" s="186">
        <v>0</v>
      </c>
      <c r="F245" s="187">
        <f t="shared" si="6"/>
        <v>0</v>
      </c>
    </row>
    <row r="246" spans="1:6">
      <c r="A246" s="184">
        <v>15</v>
      </c>
      <c r="B246" s="95" t="s">
        <v>134</v>
      </c>
      <c r="C246" s="185" t="s">
        <v>21</v>
      </c>
      <c r="D246" s="88">
        <v>1.23</v>
      </c>
      <c r="E246" s="186">
        <v>40</v>
      </c>
      <c r="F246" s="187">
        <f t="shared" si="6"/>
        <v>49.2</v>
      </c>
    </row>
    <row r="247" spans="1:6">
      <c r="A247" s="184">
        <v>16</v>
      </c>
      <c r="B247" s="191" t="s">
        <v>77</v>
      </c>
      <c r="C247" s="185" t="s">
        <v>21</v>
      </c>
      <c r="D247" s="88">
        <v>1.23</v>
      </c>
      <c r="E247" s="186">
        <v>2.64</v>
      </c>
      <c r="F247" s="187">
        <f t="shared" si="6"/>
        <v>3.2472000000000003</v>
      </c>
    </row>
    <row r="248" spans="1:6">
      <c r="A248" s="184">
        <v>17</v>
      </c>
      <c r="B248" s="96" t="s">
        <v>22</v>
      </c>
      <c r="C248" s="185" t="s">
        <v>21</v>
      </c>
      <c r="D248" s="88">
        <v>1.23</v>
      </c>
      <c r="E248" s="186">
        <v>0.92</v>
      </c>
      <c r="F248" s="187">
        <f t="shared" si="6"/>
        <v>1.1315999999999999</v>
      </c>
    </row>
    <row r="249" spans="1:6">
      <c r="A249" s="184"/>
      <c r="B249" s="191" t="s">
        <v>227</v>
      </c>
      <c r="C249" s="185"/>
      <c r="D249" s="190">
        <v>56.52</v>
      </c>
      <c r="E249" s="186">
        <v>0.5</v>
      </c>
      <c r="F249" s="187">
        <f t="shared" si="6"/>
        <v>28.26</v>
      </c>
    </row>
    <row r="250" spans="1:6">
      <c r="A250" s="184">
        <v>18</v>
      </c>
      <c r="B250" s="95" t="s">
        <v>134</v>
      </c>
      <c r="C250" s="185" t="s">
        <v>54</v>
      </c>
      <c r="D250" s="88">
        <v>1.23</v>
      </c>
      <c r="E250" s="186">
        <v>40</v>
      </c>
      <c r="F250" s="187">
        <f t="shared" si="6"/>
        <v>49.2</v>
      </c>
    </row>
    <row r="251" spans="1:6">
      <c r="A251" s="184">
        <v>19</v>
      </c>
      <c r="B251" s="191" t="s">
        <v>53</v>
      </c>
      <c r="C251" s="185" t="s">
        <v>54</v>
      </c>
      <c r="D251" s="88">
        <v>1.23</v>
      </c>
      <c r="E251" s="186">
        <v>2.64</v>
      </c>
      <c r="F251" s="187">
        <f t="shared" si="6"/>
        <v>3.2472000000000003</v>
      </c>
    </row>
    <row r="252" spans="1:6">
      <c r="A252" s="184">
        <v>20</v>
      </c>
      <c r="B252" s="96" t="s">
        <v>22</v>
      </c>
      <c r="C252" s="185" t="s">
        <v>54</v>
      </c>
      <c r="D252" s="88">
        <v>1.23</v>
      </c>
      <c r="E252" s="186">
        <v>0.92</v>
      </c>
      <c r="F252" s="187">
        <f t="shared" si="6"/>
        <v>1.1315999999999999</v>
      </c>
    </row>
    <row r="253" spans="1:6">
      <c r="A253" s="184"/>
      <c r="B253" s="193" t="s">
        <v>64</v>
      </c>
      <c r="C253" s="185"/>
      <c r="D253" s="197">
        <v>26.65</v>
      </c>
      <c r="E253" s="186">
        <v>1.2</v>
      </c>
      <c r="F253" s="187">
        <f t="shared" si="6"/>
        <v>31.979999999999997</v>
      </c>
    </row>
    <row r="254" spans="1:6">
      <c r="A254" s="184">
        <v>21</v>
      </c>
      <c r="B254" s="95" t="s">
        <v>200</v>
      </c>
      <c r="C254" s="185" t="s">
        <v>201</v>
      </c>
      <c r="D254" s="88">
        <v>1.23</v>
      </c>
      <c r="E254" s="186">
        <f>40*8</f>
        <v>320</v>
      </c>
      <c r="F254" s="187">
        <f t="shared" si="6"/>
        <v>393.6</v>
      </c>
    </row>
    <row r="255" spans="1:6">
      <c r="A255" s="184">
        <v>22</v>
      </c>
      <c r="B255" s="96" t="s">
        <v>147</v>
      </c>
      <c r="C255" s="185" t="s">
        <v>202</v>
      </c>
      <c r="D255" s="88">
        <v>1.23</v>
      </c>
      <c r="E255" s="186">
        <v>3.68</v>
      </c>
      <c r="F255" s="187">
        <f t="shared" si="6"/>
        <v>4.5263999999999998</v>
      </c>
    </row>
    <row r="256" spans="1:6">
      <c r="A256" s="184"/>
      <c r="B256" s="193" t="s">
        <v>137</v>
      </c>
      <c r="C256" s="185"/>
      <c r="D256" s="104">
        <v>6.46</v>
      </c>
      <c r="E256" s="186">
        <v>5</v>
      </c>
      <c r="F256" s="187">
        <f t="shared" si="6"/>
        <v>32.299999999999997</v>
      </c>
    </row>
    <row r="257" spans="1:7">
      <c r="A257" s="184"/>
      <c r="B257" s="193" t="s">
        <v>614</v>
      </c>
      <c r="C257" s="185"/>
      <c r="D257" s="104">
        <v>26.64</v>
      </c>
      <c r="E257" s="186">
        <v>0.6</v>
      </c>
      <c r="F257" s="187">
        <f t="shared" si="6"/>
        <v>15.984</v>
      </c>
    </row>
    <row r="258" spans="1:7">
      <c r="A258" s="184"/>
      <c r="B258" s="225" t="s">
        <v>203</v>
      </c>
      <c r="C258" s="185"/>
      <c r="D258" s="174">
        <v>111.02</v>
      </c>
      <c r="E258" s="186">
        <v>0.4</v>
      </c>
      <c r="F258" s="187">
        <f t="shared" si="6"/>
        <v>44.408000000000001</v>
      </c>
    </row>
    <row r="259" spans="1:7">
      <c r="A259" s="184"/>
      <c r="B259" s="193" t="s">
        <v>615</v>
      </c>
      <c r="C259" s="185"/>
      <c r="D259" s="104">
        <v>41.86</v>
      </c>
      <c r="E259" s="186">
        <v>0.1</v>
      </c>
      <c r="F259" s="187">
        <f t="shared" si="6"/>
        <v>4.1859999999999999</v>
      </c>
    </row>
    <row r="260" spans="1:7">
      <c r="A260" s="184"/>
      <c r="B260" s="193" t="s">
        <v>137</v>
      </c>
      <c r="C260" s="185"/>
      <c r="D260" s="104">
        <v>6.46</v>
      </c>
      <c r="E260" s="186">
        <v>5</v>
      </c>
      <c r="F260" s="187">
        <f t="shared" si="6"/>
        <v>32.299999999999997</v>
      </c>
    </row>
    <row r="261" spans="1:7">
      <c r="A261" s="184"/>
      <c r="B261" s="193" t="s">
        <v>241</v>
      </c>
      <c r="C261" s="185"/>
      <c r="D261" s="104">
        <v>26.24</v>
      </c>
      <c r="E261" s="186">
        <v>0.6</v>
      </c>
      <c r="F261" s="187">
        <f t="shared" si="6"/>
        <v>15.743999999999998</v>
      </c>
    </row>
    <row r="262" spans="1:7">
      <c r="A262" s="184"/>
      <c r="B262" s="193" t="s">
        <v>74</v>
      </c>
      <c r="C262" s="185"/>
      <c r="D262" s="197">
        <v>26.65</v>
      </c>
      <c r="E262" s="186">
        <v>1.5</v>
      </c>
      <c r="F262" s="187">
        <f t="shared" ref="F262" si="7">(E262*D262)</f>
        <v>39.974999999999994</v>
      </c>
    </row>
    <row r="263" spans="1:7">
      <c r="A263" s="184">
        <v>23</v>
      </c>
      <c r="B263" s="193" t="s">
        <v>204</v>
      </c>
      <c r="C263" s="92" t="s">
        <v>202</v>
      </c>
      <c r="D263" s="104"/>
      <c r="E263" s="186">
        <v>0</v>
      </c>
      <c r="F263" s="187">
        <f t="shared" si="6"/>
        <v>0</v>
      </c>
    </row>
    <row r="264" spans="1:7" ht="13.5" thickBot="1">
      <c r="A264" s="30">
        <v>24</v>
      </c>
      <c r="B264" s="105" t="s">
        <v>198</v>
      </c>
      <c r="C264" s="199" t="s">
        <v>202</v>
      </c>
      <c r="D264" s="208">
        <v>1.23</v>
      </c>
      <c r="E264" s="108">
        <v>90</v>
      </c>
      <c r="F264" s="109">
        <f t="shared" si="6"/>
        <v>110.7</v>
      </c>
    </row>
    <row r="265" spans="1:7">
      <c r="A265" s="454" t="s">
        <v>30</v>
      </c>
      <c r="B265" s="455"/>
      <c r="C265" s="110"/>
      <c r="D265" s="202"/>
      <c r="E265" s="203"/>
      <c r="F265" s="222">
        <f>SUM(F226:F264)</f>
        <v>1615.6414399999999</v>
      </c>
      <c r="G265" s="212">
        <f>F222*F265</f>
        <v>0</v>
      </c>
    </row>
    <row r="266" spans="1:7" ht="13.5" thickBot="1">
      <c r="A266" s="467" t="s">
        <v>31</v>
      </c>
      <c r="B266" s="468"/>
      <c r="C266" s="469"/>
      <c r="D266" s="105"/>
      <c r="E266" s="205">
        <f>E226+E227+E228+E229+E230+E232+E233+E238+E240+E241+E243+E244+E246+E247+E248+E250+E251+E252+E254+E255+E264</f>
        <v>701.19999999999993</v>
      </c>
      <c r="F266" s="206"/>
      <c r="G266" s="118" t="s">
        <v>277</v>
      </c>
    </row>
    <row r="267" spans="1:7" ht="13.5" thickBot="1"/>
    <row r="268" spans="1:7" ht="12" customHeight="1">
      <c r="A268" s="489" t="s">
        <v>666</v>
      </c>
      <c r="B268" s="490"/>
      <c r="C268" s="490"/>
      <c r="D268" s="490"/>
      <c r="E268" s="490"/>
      <c r="F268" s="491"/>
    </row>
    <row r="269" spans="1:7" ht="15" customHeight="1">
      <c r="A269" s="492"/>
      <c r="B269" s="493"/>
      <c r="C269" s="493"/>
      <c r="D269" s="493"/>
      <c r="E269" s="493"/>
      <c r="F269" s="494"/>
    </row>
    <row r="270" spans="1:7" ht="15" customHeight="1" thickBot="1">
      <c r="A270" s="495"/>
      <c r="B270" s="496"/>
      <c r="C270" s="496"/>
      <c r="D270" s="496"/>
      <c r="E270" s="496"/>
      <c r="F270" s="497"/>
    </row>
    <row r="271" spans="1:7" ht="13.5" thickBot="1"/>
    <row r="272" spans="1:7" ht="13.5" customHeight="1" thickBot="1">
      <c r="B272" s="2" t="s">
        <v>205</v>
      </c>
      <c r="C272" s="2"/>
      <c r="D272" s="470" t="s">
        <v>1</v>
      </c>
      <c r="E272" s="471"/>
      <c r="F272" s="81">
        <v>0</v>
      </c>
    </row>
    <row r="273" spans="1:6" ht="13.5" thickBot="1"/>
    <row r="274" spans="1:6" ht="11.25" customHeight="1">
      <c r="A274" s="472" t="s">
        <v>276</v>
      </c>
      <c r="B274" s="473"/>
      <c r="C274" s="473"/>
      <c r="D274" s="473"/>
      <c r="E274" s="465" t="s">
        <v>2</v>
      </c>
      <c r="F274" s="466"/>
    </row>
    <row r="275" spans="1:6" ht="51.75" thickBot="1">
      <c r="A275" s="372" t="s">
        <v>716</v>
      </c>
      <c r="B275" s="84" t="s">
        <v>3</v>
      </c>
      <c r="C275" s="84" t="s">
        <v>4</v>
      </c>
      <c r="D275" s="84" t="s">
        <v>5</v>
      </c>
      <c r="E275" s="85" t="s">
        <v>6</v>
      </c>
      <c r="F275" s="86" t="s">
        <v>7</v>
      </c>
    </row>
    <row r="276" spans="1:6" ht="13.5" thickTop="1">
      <c r="A276" s="11">
        <v>1</v>
      </c>
      <c r="B276" s="54" t="s">
        <v>39</v>
      </c>
      <c r="C276" s="132" t="s">
        <v>34</v>
      </c>
      <c r="D276" s="88">
        <v>1.23</v>
      </c>
      <c r="E276" s="129">
        <v>11.32</v>
      </c>
      <c r="F276" s="130">
        <f>E276*D276</f>
        <v>13.9236</v>
      </c>
    </row>
    <row r="277" spans="1:6">
      <c r="A277" s="17">
        <v>2</v>
      </c>
      <c r="B277" s="96" t="s">
        <v>40</v>
      </c>
      <c r="C277" s="133" t="s">
        <v>34</v>
      </c>
      <c r="D277" s="88">
        <v>1.23</v>
      </c>
      <c r="E277" s="134">
        <v>60</v>
      </c>
      <c r="F277" s="58">
        <f>E277*D277</f>
        <v>73.8</v>
      </c>
    </row>
    <row r="278" spans="1:6">
      <c r="A278" s="17">
        <v>3</v>
      </c>
      <c r="B278" s="135" t="s">
        <v>183</v>
      </c>
      <c r="C278" s="133" t="s">
        <v>34</v>
      </c>
      <c r="D278" s="88">
        <v>1.23</v>
      </c>
      <c r="E278" s="134">
        <v>17.579999999999998</v>
      </c>
      <c r="F278" s="58">
        <f>E278*D278</f>
        <v>21.623399999999997</v>
      </c>
    </row>
    <row r="279" spans="1:6">
      <c r="A279" s="17">
        <v>4</v>
      </c>
      <c r="B279" s="91" t="s">
        <v>13</v>
      </c>
      <c r="C279" s="133" t="s">
        <v>42</v>
      </c>
      <c r="D279" s="88">
        <v>1.23</v>
      </c>
      <c r="E279" s="134">
        <v>3.9</v>
      </c>
      <c r="F279" s="58">
        <f t="shared" ref="F279:F301" si="8">E279*D279</f>
        <v>4.7969999999999997</v>
      </c>
    </row>
    <row r="280" spans="1:6">
      <c r="A280" s="17">
        <v>5</v>
      </c>
      <c r="B280" s="54" t="s">
        <v>8</v>
      </c>
      <c r="C280" s="133" t="s">
        <v>43</v>
      </c>
      <c r="D280" s="88">
        <v>1.23</v>
      </c>
      <c r="E280" s="134">
        <v>1.32</v>
      </c>
      <c r="F280" s="58">
        <f t="shared" si="8"/>
        <v>1.6236000000000002</v>
      </c>
    </row>
    <row r="281" spans="1:6">
      <c r="A281" s="17"/>
      <c r="B281" s="91" t="s">
        <v>69</v>
      </c>
      <c r="C281" s="133"/>
      <c r="D281" s="93">
        <v>0.34</v>
      </c>
      <c r="E281" s="134">
        <v>500</v>
      </c>
      <c r="F281" s="58">
        <f t="shared" si="8"/>
        <v>170</v>
      </c>
    </row>
    <row r="282" spans="1:6">
      <c r="A282" s="17">
        <v>6</v>
      </c>
      <c r="B282" s="95" t="s">
        <v>11</v>
      </c>
      <c r="C282" s="133" t="s">
        <v>43</v>
      </c>
      <c r="D282" s="88">
        <v>1.23</v>
      </c>
      <c r="E282" s="134">
        <v>1.1599999999999999</v>
      </c>
      <c r="F282" s="58">
        <f t="shared" si="8"/>
        <v>1.4267999999999998</v>
      </c>
    </row>
    <row r="283" spans="1:6">
      <c r="A283" s="17">
        <v>7</v>
      </c>
      <c r="B283" s="96" t="s">
        <v>12</v>
      </c>
      <c r="C283" s="136" t="s">
        <v>43</v>
      </c>
      <c r="D283" s="88">
        <v>1.23</v>
      </c>
      <c r="E283" s="134">
        <v>21.66</v>
      </c>
      <c r="F283" s="58">
        <f t="shared" si="8"/>
        <v>26.6418</v>
      </c>
    </row>
    <row r="284" spans="1:6">
      <c r="A284" s="17">
        <v>8</v>
      </c>
      <c r="B284" s="54" t="s">
        <v>8</v>
      </c>
      <c r="C284" s="136" t="s">
        <v>45</v>
      </c>
      <c r="D284" s="88">
        <v>1.23</v>
      </c>
      <c r="E284" s="134">
        <v>1.38</v>
      </c>
      <c r="F284" s="58">
        <f t="shared" si="8"/>
        <v>1.6973999999999998</v>
      </c>
    </row>
    <row r="285" spans="1:6">
      <c r="A285" s="17"/>
      <c r="B285" s="91" t="s">
        <v>51</v>
      </c>
      <c r="C285" s="136"/>
      <c r="D285" s="104">
        <v>0.32</v>
      </c>
      <c r="E285" s="134">
        <v>300</v>
      </c>
      <c r="F285" s="58">
        <f t="shared" si="8"/>
        <v>96</v>
      </c>
    </row>
    <row r="286" spans="1:6">
      <c r="A286" s="17">
        <v>9</v>
      </c>
      <c r="B286" s="95" t="s">
        <v>11</v>
      </c>
      <c r="C286" s="185" t="s">
        <v>45</v>
      </c>
      <c r="D286" s="88">
        <v>1.23</v>
      </c>
      <c r="E286" s="186">
        <v>1.1599999999999999</v>
      </c>
      <c r="F286" s="58">
        <f t="shared" si="8"/>
        <v>1.4267999999999998</v>
      </c>
    </row>
    <row r="287" spans="1:6">
      <c r="A287" s="17">
        <v>10</v>
      </c>
      <c r="B287" s="95" t="s">
        <v>44</v>
      </c>
      <c r="C287" s="136" t="s">
        <v>45</v>
      </c>
      <c r="D287" s="88">
        <v>1.23</v>
      </c>
      <c r="E287" s="134">
        <v>2.16</v>
      </c>
      <c r="F287" s="58">
        <f t="shared" si="8"/>
        <v>2.6568000000000001</v>
      </c>
    </row>
    <row r="288" spans="1:6">
      <c r="A288" s="17"/>
      <c r="B288" s="91" t="s">
        <v>16</v>
      </c>
      <c r="C288" s="133"/>
      <c r="D288" s="174">
        <v>160</v>
      </c>
      <c r="E288" s="134">
        <v>3</v>
      </c>
      <c r="F288" s="58">
        <f t="shared" si="8"/>
        <v>480</v>
      </c>
    </row>
    <row r="289" spans="1:7">
      <c r="A289" s="17">
        <v>11</v>
      </c>
      <c r="B289" s="91" t="s">
        <v>17</v>
      </c>
      <c r="C289" s="133" t="s">
        <v>45</v>
      </c>
      <c r="D289" s="104"/>
      <c r="E289" s="134">
        <v>0</v>
      </c>
      <c r="F289" s="58">
        <f t="shared" si="8"/>
        <v>0</v>
      </c>
    </row>
    <row r="290" spans="1:7">
      <c r="A290" s="17">
        <v>12</v>
      </c>
      <c r="B290" s="96" t="s">
        <v>206</v>
      </c>
      <c r="C290" s="133" t="s">
        <v>207</v>
      </c>
      <c r="D290" s="88">
        <v>1.23</v>
      </c>
      <c r="E290" s="134">
        <f>0.96*6</f>
        <v>5.76</v>
      </c>
      <c r="F290" s="58">
        <f t="shared" si="8"/>
        <v>7.0847999999999995</v>
      </c>
    </row>
    <row r="291" spans="1:7">
      <c r="A291" s="17"/>
      <c r="B291" s="96" t="s">
        <v>208</v>
      </c>
      <c r="C291" s="133"/>
      <c r="D291" s="104">
        <v>22.64</v>
      </c>
      <c r="E291" s="134">
        <v>5</v>
      </c>
      <c r="F291" s="58">
        <f t="shared" si="8"/>
        <v>113.2</v>
      </c>
    </row>
    <row r="292" spans="1:7">
      <c r="A292" s="17"/>
      <c r="B292" s="96" t="s">
        <v>74</v>
      </c>
      <c r="C292" s="136"/>
      <c r="D292" s="197">
        <v>26.65</v>
      </c>
      <c r="E292" s="134">
        <v>1.2</v>
      </c>
      <c r="F292" s="58">
        <f t="shared" si="8"/>
        <v>31.979999999999997</v>
      </c>
    </row>
    <row r="293" spans="1:7">
      <c r="A293" s="17"/>
      <c r="B293" s="96" t="s">
        <v>209</v>
      </c>
      <c r="C293" s="136"/>
      <c r="D293" s="104">
        <v>111.02</v>
      </c>
      <c r="E293" s="134">
        <v>0.4</v>
      </c>
      <c r="F293" s="58">
        <f t="shared" si="8"/>
        <v>44.408000000000001</v>
      </c>
    </row>
    <row r="294" spans="1:7">
      <c r="A294" s="17"/>
      <c r="B294" s="95" t="s">
        <v>210</v>
      </c>
      <c r="C294" s="136"/>
      <c r="D294" s="104">
        <v>6.46</v>
      </c>
      <c r="E294" s="134">
        <v>2.5</v>
      </c>
      <c r="F294" s="58">
        <f t="shared" si="8"/>
        <v>16.149999999999999</v>
      </c>
    </row>
    <row r="295" spans="1:7">
      <c r="A295" s="17"/>
      <c r="B295" s="95" t="s">
        <v>211</v>
      </c>
      <c r="C295" s="136"/>
      <c r="D295" s="88">
        <v>52.89</v>
      </c>
      <c r="E295" s="134">
        <v>0.2</v>
      </c>
      <c r="F295" s="58">
        <f t="shared" si="8"/>
        <v>10.578000000000001</v>
      </c>
    </row>
    <row r="296" spans="1:7">
      <c r="A296" s="17"/>
      <c r="B296" s="95" t="s">
        <v>212</v>
      </c>
      <c r="C296" s="136"/>
      <c r="D296" s="218">
        <v>91.24</v>
      </c>
      <c r="E296" s="134">
        <v>0.75</v>
      </c>
      <c r="F296" s="58">
        <f t="shared" si="8"/>
        <v>68.429999999999993</v>
      </c>
      <c r="G296" s="43"/>
    </row>
    <row r="297" spans="1:7">
      <c r="A297" s="17"/>
      <c r="B297" s="95" t="s">
        <v>213</v>
      </c>
      <c r="C297" s="136"/>
      <c r="D297" s="88">
        <v>292.69</v>
      </c>
      <c r="E297" s="134">
        <v>0.04</v>
      </c>
      <c r="F297" s="58">
        <f t="shared" si="8"/>
        <v>11.707599999999999</v>
      </c>
    </row>
    <row r="298" spans="1:7">
      <c r="A298" s="17">
        <v>13</v>
      </c>
      <c r="B298" s="95" t="s">
        <v>169</v>
      </c>
      <c r="C298" s="133" t="s">
        <v>193</v>
      </c>
      <c r="D298" s="88">
        <v>1.23</v>
      </c>
      <c r="E298" s="134">
        <f>2.76*2</f>
        <v>5.52</v>
      </c>
      <c r="F298" s="58">
        <f t="shared" si="8"/>
        <v>6.7895999999999992</v>
      </c>
    </row>
    <row r="299" spans="1:7">
      <c r="A299" s="17">
        <v>14</v>
      </c>
      <c r="B299" s="95" t="s">
        <v>214</v>
      </c>
      <c r="C299" s="133" t="s">
        <v>125</v>
      </c>
      <c r="D299" s="88">
        <v>1.23</v>
      </c>
      <c r="E299" s="134">
        <f>3*40</f>
        <v>120</v>
      </c>
      <c r="F299" s="58">
        <f t="shared" si="8"/>
        <v>147.6</v>
      </c>
    </row>
    <row r="300" spans="1:7">
      <c r="A300" s="17">
        <v>15</v>
      </c>
      <c r="B300" s="95" t="s">
        <v>215</v>
      </c>
      <c r="C300" s="136" t="s">
        <v>54</v>
      </c>
      <c r="D300" s="88"/>
      <c r="E300" s="134">
        <v>0</v>
      </c>
      <c r="F300" s="58">
        <f t="shared" si="8"/>
        <v>0</v>
      </c>
    </row>
    <row r="301" spans="1:7" ht="13.5" thickBot="1">
      <c r="A301" s="30">
        <v>16</v>
      </c>
      <c r="B301" s="105" t="s">
        <v>216</v>
      </c>
      <c r="C301" s="140" t="s">
        <v>54</v>
      </c>
      <c r="D301" s="208">
        <v>1.23</v>
      </c>
      <c r="E301" s="116">
        <v>48</v>
      </c>
      <c r="F301" s="68">
        <f t="shared" si="8"/>
        <v>59.04</v>
      </c>
    </row>
    <row r="302" spans="1:7">
      <c r="A302" s="454" t="s">
        <v>30</v>
      </c>
      <c r="B302" s="455"/>
      <c r="C302" s="110"/>
      <c r="D302" s="202"/>
      <c r="E302" s="219"/>
      <c r="F302" s="222">
        <f>SUM(F276:F301)</f>
        <v>1412.5852</v>
      </c>
      <c r="G302" s="226">
        <f>F272*F302</f>
        <v>0</v>
      </c>
    </row>
    <row r="303" spans="1:7" ht="13.5" thickBot="1">
      <c r="A303" s="467" t="s">
        <v>31</v>
      </c>
      <c r="B303" s="468"/>
      <c r="C303" s="469"/>
      <c r="D303" s="105"/>
      <c r="E303" s="205">
        <f>E276+E277+E278+E279+E280+E282+E283+E284+E286+E287+E290+E298+E299+E301</f>
        <v>300.91999999999996</v>
      </c>
      <c r="F303" s="206"/>
      <c r="G303" s="118" t="s">
        <v>277</v>
      </c>
    </row>
    <row r="304" spans="1:7" ht="13.5" thickBot="1"/>
    <row r="305" spans="1:6" ht="12" customHeight="1">
      <c r="A305" s="456" t="s">
        <v>667</v>
      </c>
      <c r="B305" s="457"/>
      <c r="C305" s="457"/>
      <c r="D305" s="457"/>
      <c r="E305" s="457"/>
      <c r="F305" s="458"/>
    </row>
    <row r="306" spans="1:6" ht="15" customHeight="1">
      <c r="A306" s="459"/>
      <c r="B306" s="460"/>
      <c r="C306" s="460"/>
      <c r="D306" s="460"/>
      <c r="E306" s="460"/>
      <c r="F306" s="461"/>
    </row>
    <row r="307" spans="1:6" ht="15" customHeight="1" thickBot="1">
      <c r="A307" s="462"/>
      <c r="B307" s="463"/>
      <c r="C307" s="463"/>
      <c r="D307" s="463"/>
      <c r="E307" s="463"/>
      <c r="F307" s="464"/>
    </row>
    <row r="308" spans="1:6" ht="13.5" thickBot="1"/>
    <row r="309" spans="1:6" ht="13.5" thickBot="1">
      <c r="B309" s="2" t="s">
        <v>217</v>
      </c>
      <c r="C309" s="2"/>
      <c r="D309" s="470" t="s">
        <v>1</v>
      </c>
      <c r="E309" s="471"/>
      <c r="F309" s="81">
        <v>0</v>
      </c>
    </row>
    <row r="310" spans="1:6" ht="13.5" thickBot="1"/>
    <row r="311" spans="1:6" ht="11.25" customHeight="1">
      <c r="A311" s="472" t="s">
        <v>276</v>
      </c>
      <c r="B311" s="473"/>
      <c r="C311" s="473"/>
      <c r="D311" s="473"/>
      <c r="E311" s="465" t="s">
        <v>2</v>
      </c>
      <c r="F311" s="466"/>
    </row>
    <row r="312" spans="1:6" ht="51.75" thickBot="1">
      <c r="A312" s="372" t="s">
        <v>716</v>
      </c>
      <c r="B312" s="84" t="s">
        <v>3</v>
      </c>
      <c r="C312" s="84" t="s">
        <v>4</v>
      </c>
      <c r="D312" s="84" t="s">
        <v>5</v>
      </c>
      <c r="E312" s="85" t="s">
        <v>6</v>
      </c>
      <c r="F312" s="86" t="s">
        <v>7</v>
      </c>
    </row>
    <row r="313" spans="1:6" ht="13.5" thickTop="1">
      <c r="A313" s="11">
        <v>1</v>
      </c>
      <c r="B313" s="54" t="s">
        <v>39</v>
      </c>
      <c r="C313" s="132" t="s">
        <v>34</v>
      </c>
      <c r="D313" s="88">
        <v>1.23</v>
      </c>
      <c r="E313" s="129">
        <v>11.32</v>
      </c>
      <c r="F313" s="130">
        <f>E313*D313</f>
        <v>13.9236</v>
      </c>
    </row>
    <row r="314" spans="1:6">
      <c r="A314" s="17">
        <v>2</v>
      </c>
      <c r="B314" s="96" t="s">
        <v>40</v>
      </c>
      <c r="C314" s="133" t="s">
        <v>34</v>
      </c>
      <c r="D314" s="88">
        <v>1.23</v>
      </c>
      <c r="E314" s="134">
        <v>60</v>
      </c>
      <c r="F314" s="130">
        <f>E314*D314</f>
        <v>73.8</v>
      </c>
    </row>
    <row r="315" spans="1:6">
      <c r="A315" s="17">
        <v>3</v>
      </c>
      <c r="B315" s="135" t="s">
        <v>183</v>
      </c>
      <c r="C315" s="133" t="s">
        <v>34</v>
      </c>
      <c r="D315" s="88">
        <v>1.23</v>
      </c>
      <c r="E315" s="134">
        <v>17.579999999999998</v>
      </c>
      <c r="F315" s="130">
        <f t="shared" ref="F315:F335" si="9">E315*D315</f>
        <v>21.623399999999997</v>
      </c>
    </row>
    <row r="316" spans="1:6">
      <c r="A316" s="17">
        <v>4</v>
      </c>
      <c r="B316" s="91" t="s">
        <v>13</v>
      </c>
      <c r="C316" s="133" t="s">
        <v>42</v>
      </c>
      <c r="D316" s="88">
        <v>1.23</v>
      </c>
      <c r="E316" s="134">
        <v>3.9</v>
      </c>
      <c r="F316" s="130">
        <f t="shared" si="9"/>
        <v>4.7969999999999997</v>
      </c>
    </row>
    <row r="317" spans="1:6">
      <c r="A317" s="17">
        <v>5</v>
      </c>
      <c r="B317" s="54" t="s">
        <v>8</v>
      </c>
      <c r="C317" s="133" t="s">
        <v>43</v>
      </c>
      <c r="D317" s="88">
        <v>1.23</v>
      </c>
      <c r="E317" s="134">
        <v>1.32</v>
      </c>
      <c r="F317" s="130">
        <f t="shared" si="9"/>
        <v>1.6236000000000002</v>
      </c>
    </row>
    <row r="318" spans="1:6">
      <c r="A318" s="17"/>
      <c r="B318" s="91" t="s">
        <v>69</v>
      </c>
      <c r="C318" s="133"/>
      <c r="D318" s="93">
        <v>0.34</v>
      </c>
      <c r="E318" s="134">
        <v>500</v>
      </c>
      <c r="F318" s="130">
        <f t="shared" si="9"/>
        <v>170</v>
      </c>
    </row>
    <row r="319" spans="1:6">
      <c r="A319" s="17">
        <v>6</v>
      </c>
      <c r="B319" s="95" t="s">
        <v>11</v>
      </c>
      <c r="C319" s="133" t="s">
        <v>43</v>
      </c>
      <c r="D319" s="88">
        <v>1.23</v>
      </c>
      <c r="E319" s="134">
        <v>1.1599999999999999</v>
      </c>
      <c r="F319" s="130">
        <f t="shared" si="9"/>
        <v>1.4267999999999998</v>
      </c>
    </row>
    <row r="320" spans="1:6">
      <c r="A320" s="17">
        <v>7</v>
      </c>
      <c r="B320" s="96" t="s">
        <v>12</v>
      </c>
      <c r="C320" s="136" t="s">
        <v>43</v>
      </c>
      <c r="D320" s="88">
        <v>1.23</v>
      </c>
      <c r="E320" s="134">
        <v>21.66</v>
      </c>
      <c r="F320" s="130">
        <f t="shared" si="9"/>
        <v>26.6418</v>
      </c>
    </row>
    <row r="321" spans="1:7">
      <c r="A321" s="17">
        <v>8</v>
      </c>
      <c r="B321" s="54" t="s">
        <v>8</v>
      </c>
      <c r="C321" s="136" t="s">
        <v>45</v>
      </c>
      <c r="D321" s="88">
        <v>1.23</v>
      </c>
      <c r="E321" s="134">
        <v>1.38</v>
      </c>
      <c r="F321" s="130">
        <f t="shared" si="9"/>
        <v>1.6973999999999998</v>
      </c>
    </row>
    <row r="322" spans="1:7">
      <c r="A322" s="17"/>
      <c r="B322" s="91" t="s">
        <v>51</v>
      </c>
      <c r="C322" s="136"/>
      <c r="D322" s="104">
        <v>0.32</v>
      </c>
      <c r="E322" s="134">
        <v>300</v>
      </c>
      <c r="F322" s="130">
        <f t="shared" si="9"/>
        <v>96</v>
      </c>
    </row>
    <row r="323" spans="1:7">
      <c r="A323" s="17">
        <v>9</v>
      </c>
      <c r="B323" s="95" t="s">
        <v>11</v>
      </c>
      <c r="C323" s="185" t="s">
        <v>45</v>
      </c>
      <c r="D323" s="88">
        <v>1.23</v>
      </c>
      <c r="E323" s="186">
        <v>1.1599999999999999</v>
      </c>
      <c r="F323" s="130">
        <f t="shared" si="9"/>
        <v>1.4267999999999998</v>
      </c>
    </row>
    <row r="324" spans="1:7">
      <c r="A324" s="17">
        <v>10</v>
      </c>
      <c r="B324" s="95" t="s">
        <v>44</v>
      </c>
      <c r="C324" s="136" t="s">
        <v>21</v>
      </c>
      <c r="D324" s="88">
        <v>1.23</v>
      </c>
      <c r="E324" s="134">
        <v>2.16</v>
      </c>
      <c r="F324" s="130">
        <f t="shared" si="9"/>
        <v>2.6568000000000001</v>
      </c>
    </row>
    <row r="325" spans="1:7">
      <c r="A325" s="17"/>
      <c r="B325" s="91" t="s">
        <v>16</v>
      </c>
      <c r="C325" s="133"/>
      <c r="D325" s="137">
        <v>32.299999999999997</v>
      </c>
      <c r="E325" s="134">
        <v>10</v>
      </c>
      <c r="F325" s="130">
        <f t="shared" si="9"/>
        <v>323</v>
      </c>
    </row>
    <row r="326" spans="1:7">
      <c r="A326" s="17">
        <v>11</v>
      </c>
      <c r="B326" s="91" t="s">
        <v>17</v>
      </c>
      <c r="C326" s="133" t="s">
        <v>21</v>
      </c>
      <c r="D326" s="88">
        <v>1.23</v>
      </c>
      <c r="E326" s="209">
        <v>3.15</v>
      </c>
      <c r="F326" s="130">
        <f t="shared" si="9"/>
        <v>3.8744999999999998</v>
      </c>
    </row>
    <row r="327" spans="1:7">
      <c r="A327" s="17">
        <v>12</v>
      </c>
      <c r="B327" s="96" t="s">
        <v>174</v>
      </c>
      <c r="C327" s="133" t="s">
        <v>155</v>
      </c>
      <c r="D327" s="88">
        <v>1.23</v>
      </c>
      <c r="E327" s="134">
        <f>0.96*3</f>
        <v>2.88</v>
      </c>
      <c r="F327" s="130">
        <f t="shared" si="9"/>
        <v>3.5423999999999998</v>
      </c>
    </row>
    <row r="328" spans="1:7">
      <c r="A328" s="17">
        <v>13</v>
      </c>
      <c r="B328" s="96" t="s">
        <v>176</v>
      </c>
      <c r="C328" s="133" t="s">
        <v>155</v>
      </c>
      <c r="D328" s="88">
        <v>1.23</v>
      </c>
      <c r="E328" s="134">
        <f>0.92*3</f>
        <v>2.7600000000000002</v>
      </c>
      <c r="F328" s="130">
        <f t="shared" si="9"/>
        <v>3.3948</v>
      </c>
    </row>
    <row r="329" spans="1:7">
      <c r="A329" s="17"/>
      <c r="B329" s="96" t="s">
        <v>218</v>
      </c>
      <c r="C329" s="133"/>
      <c r="D329" s="197">
        <v>26.65</v>
      </c>
      <c r="E329" s="134">
        <v>1.2</v>
      </c>
      <c r="F329" s="130">
        <f t="shared" si="9"/>
        <v>31.979999999999997</v>
      </c>
    </row>
    <row r="330" spans="1:7">
      <c r="A330" s="17"/>
      <c r="B330" s="96" t="s">
        <v>219</v>
      </c>
      <c r="C330" s="136"/>
      <c r="D330" s="137">
        <v>22.77</v>
      </c>
      <c r="E330" s="134">
        <v>1.5</v>
      </c>
      <c r="F330" s="130">
        <f t="shared" si="9"/>
        <v>34.155000000000001</v>
      </c>
    </row>
    <row r="331" spans="1:7">
      <c r="A331" s="17"/>
      <c r="B331" s="96" t="s">
        <v>220</v>
      </c>
      <c r="C331" s="136"/>
      <c r="D331" s="104">
        <v>26.64</v>
      </c>
      <c r="E331" s="134">
        <v>2</v>
      </c>
      <c r="F331" s="130">
        <f t="shared" si="9"/>
        <v>53.28</v>
      </c>
    </row>
    <row r="332" spans="1:7">
      <c r="A332" s="17">
        <v>14</v>
      </c>
      <c r="B332" s="95" t="s">
        <v>169</v>
      </c>
      <c r="C332" s="133" t="s">
        <v>125</v>
      </c>
      <c r="D332" s="88">
        <v>1.23</v>
      </c>
      <c r="E332" s="134">
        <f>2.76*2</f>
        <v>5.52</v>
      </c>
      <c r="F332" s="130">
        <f t="shared" si="9"/>
        <v>6.7895999999999992</v>
      </c>
    </row>
    <row r="333" spans="1:7">
      <c r="A333" s="100">
        <v>15</v>
      </c>
      <c r="B333" s="95" t="s">
        <v>138</v>
      </c>
      <c r="C333" s="136" t="s">
        <v>125</v>
      </c>
      <c r="D333" s="88">
        <v>1.23</v>
      </c>
      <c r="E333" s="215">
        <f>40*2</f>
        <v>80</v>
      </c>
      <c r="F333" s="130">
        <f t="shared" si="9"/>
        <v>98.4</v>
      </c>
    </row>
    <row r="334" spans="1:7">
      <c r="A334" s="17">
        <v>16</v>
      </c>
      <c r="B334" s="95" t="s">
        <v>221</v>
      </c>
      <c r="C334" s="136" t="s">
        <v>42</v>
      </c>
      <c r="D334" s="88">
        <v>1.23</v>
      </c>
      <c r="E334" s="134">
        <v>11.6</v>
      </c>
      <c r="F334" s="130">
        <f t="shared" si="9"/>
        <v>14.267999999999999</v>
      </c>
    </row>
    <row r="335" spans="1:7" ht="13.5" thickBot="1">
      <c r="A335" s="30">
        <v>17</v>
      </c>
      <c r="B335" s="105" t="s">
        <v>222</v>
      </c>
      <c r="C335" s="140" t="s">
        <v>42</v>
      </c>
      <c r="D335" s="208">
        <v>1.23</v>
      </c>
      <c r="E335" s="271">
        <v>37.5</v>
      </c>
      <c r="F335" s="68">
        <f t="shared" si="9"/>
        <v>46.125</v>
      </c>
    </row>
    <row r="336" spans="1:7">
      <c r="A336" s="454" t="s">
        <v>30</v>
      </c>
      <c r="B336" s="455"/>
      <c r="C336" s="110"/>
      <c r="D336" s="202"/>
      <c r="E336" s="219"/>
      <c r="F336" s="222">
        <f>SUM(F313:F335)</f>
        <v>1034.4265</v>
      </c>
      <c r="G336" s="226">
        <f>F309*F336</f>
        <v>0</v>
      </c>
    </row>
    <row r="337" spans="1:7" ht="13.5" thickBot="1">
      <c r="A337" s="467" t="s">
        <v>31</v>
      </c>
      <c r="B337" s="468"/>
      <c r="C337" s="469"/>
      <c r="D337" s="105"/>
      <c r="E337" s="205">
        <f>E313+E314+E315+E316+E317+E319+E320+E321+E323+E324+E326+E327+E328+E332+E333+E335</f>
        <v>253.45</v>
      </c>
      <c r="F337" s="206"/>
      <c r="G337" s="118" t="s">
        <v>277</v>
      </c>
    </row>
    <row r="338" spans="1:7" ht="13.5" thickBot="1"/>
    <row r="339" spans="1:7" ht="12" customHeight="1">
      <c r="A339" s="456" t="s">
        <v>668</v>
      </c>
      <c r="B339" s="457"/>
      <c r="C339" s="457"/>
      <c r="D339" s="457"/>
      <c r="E339" s="457"/>
      <c r="F339" s="458"/>
    </row>
    <row r="340" spans="1:7" ht="15" customHeight="1">
      <c r="A340" s="459"/>
      <c r="B340" s="460"/>
      <c r="C340" s="460"/>
      <c r="D340" s="460"/>
      <c r="E340" s="460"/>
      <c r="F340" s="461"/>
    </row>
    <row r="341" spans="1:7" ht="15" customHeight="1" thickBot="1">
      <c r="A341" s="462"/>
      <c r="B341" s="463"/>
      <c r="C341" s="463"/>
      <c r="D341" s="463"/>
      <c r="E341" s="463"/>
      <c r="F341" s="464"/>
    </row>
    <row r="342" spans="1:7" ht="13.5" thickBot="1"/>
    <row r="343" spans="1:7" ht="13.5" thickBot="1">
      <c r="B343" s="2" t="s">
        <v>223</v>
      </c>
      <c r="C343" s="2"/>
      <c r="D343" s="470" t="s">
        <v>1</v>
      </c>
      <c r="E343" s="471"/>
      <c r="F343" s="81">
        <v>0</v>
      </c>
    </row>
    <row r="344" spans="1:7" ht="13.5" thickBot="1"/>
    <row r="345" spans="1:7" ht="11.25" customHeight="1">
      <c r="A345" s="472" t="s">
        <v>276</v>
      </c>
      <c r="B345" s="473"/>
      <c r="C345" s="473"/>
      <c r="D345" s="473"/>
      <c r="E345" s="465" t="s">
        <v>2</v>
      </c>
      <c r="F345" s="466"/>
    </row>
    <row r="346" spans="1:7" ht="51.75" thickBot="1">
      <c r="A346" s="372" t="s">
        <v>716</v>
      </c>
      <c r="B346" s="84" t="s">
        <v>3</v>
      </c>
      <c r="C346" s="84" t="s">
        <v>4</v>
      </c>
      <c r="D346" s="84" t="s">
        <v>5</v>
      </c>
      <c r="E346" s="85" t="s">
        <v>6</v>
      </c>
      <c r="F346" s="86" t="s">
        <v>7</v>
      </c>
    </row>
    <row r="347" spans="1:7" ht="13.5" thickTop="1">
      <c r="A347" s="11">
        <v>1</v>
      </c>
      <c r="B347" s="54" t="s">
        <v>39</v>
      </c>
      <c r="C347" s="132" t="s">
        <v>34</v>
      </c>
      <c r="D347" s="88">
        <v>1.23</v>
      </c>
      <c r="E347" s="129">
        <v>11.32</v>
      </c>
      <c r="F347" s="130">
        <f>E347*D347</f>
        <v>13.9236</v>
      </c>
    </row>
    <row r="348" spans="1:7">
      <c r="A348" s="17">
        <v>2</v>
      </c>
      <c r="B348" s="96" t="s">
        <v>40</v>
      </c>
      <c r="C348" s="133" t="s">
        <v>34</v>
      </c>
      <c r="D348" s="88">
        <v>1.23</v>
      </c>
      <c r="E348" s="134">
        <v>60</v>
      </c>
      <c r="F348" s="130">
        <f>E348*D348</f>
        <v>73.8</v>
      </c>
    </row>
    <row r="349" spans="1:7">
      <c r="A349" s="17">
        <v>3</v>
      </c>
      <c r="B349" s="135" t="s">
        <v>183</v>
      </c>
      <c r="C349" s="133" t="s">
        <v>34</v>
      </c>
      <c r="D349" s="88">
        <v>1.23</v>
      </c>
      <c r="E349" s="134">
        <v>17.579999999999998</v>
      </c>
      <c r="F349" s="130">
        <f t="shared" ref="F349:F380" si="10">E349*D349</f>
        <v>21.623399999999997</v>
      </c>
    </row>
    <row r="350" spans="1:7">
      <c r="A350" s="17">
        <v>4</v>
      </c>
      <c r="B350" s="91" t="s">
        <v>13</v>
      </c>
      <c r="C350" s="133" t="s">
        <v>42</v>
      </c>
      <c r="D350" s="88">
        <v>1.23</v>
      </c>
      <c r="E350" s="134">
        <v>3.9</v>
      </c>
      <c r="F350" s="130">
        <f t="shared" si="10"/>
        <v>4.7969999999999997</v>
      </c>
    </row>
    <row r="351" spans="1:7">
      <c r="A351" s="17">
        <v>5</v>
      </c>
      <c r="B351" s="54" t="s">
        <v>8</v>
      </c>
      <c r="C351" s="133" t="s">
        <v>43</v>
      </c>
      <c r="D351" s="88">
        <v>1.23</v>
      </c>
      <c r="E351" s="134">
        <v>1.32</v>
      </c>
      <c r="F351" s="130">
        <f t="shared" si="10"/>
        <v>1.6236000000000002</v>
      </c>
    </row>
    <row r="352" spans="1:7">
      <c r="A352" s="17"/>
      <c r="B352" s="91" t="s">
        <v>69</v>
      </c>
      <c r="C352" s="133"/>
      <c r="D352" s="93">
        <v>0.34</v>
      </c>
      <c r="E352" s="134">
        <v>500</v>
      </c>
      <c r="F352" s="130">
        <f t="shared" si="10"/>
        <v>170</v>
      </c>
    </row>
    <row r="353" spans="1:6">
      <c r="A353" s="17">
        <v>6</v>
      </c>
      <c r="B353" s="95" t="s">
        <v>11</v>
      </c>
      <c r="C353" s="133" t="s">
        <v>43</v>
      </c>
      <c r="D353" s="88">
        <v>1.23</v>
      </c>
      <c r="E353" s="134">
        <v>1.1599999999999999</v>
      </c>
      <c r="F353" s="130">
        <f t="shared" si="10"/>
        <v>1.4267999999999998</v>
      </c>
    </row>
    <row r="354" spans="1:6">
      <c r="A354" s="17">
        <v>7</v>
      </c>
      <c r="B354" s="96" t="s">
        <v>12</v>
      </c>
      <c r="C354" s="136" t="s">
        <v>43</v>
      </c>
      <c r="D354" s="88">
        <v>1.23</v>
      </c>
      <c r="E354" s="134">
        <v>21.66</v>
      </c>
      <c r="F354" s="130">
        <f t="shared" si="10"/>
        <v>26.6418</v>
      </c>
    </row>
    <row r="355" spans="1:6">
      <c r="A355" s="184"/>
      <c r="B355" s="96" t="s">
        <v>16</v>
      </c>
      <c r="C355" s="185" t="s">
        <v>18</v>
      </c>
      <c r="D355" s="188">
        <v>3000</v>
      </c>
      <c r="E355" s="186">
        <v>0.1</v>
      </c>
      <c r="F355" s="130">
        <f t="shared" si="10"/>
        <v>300</v>
      </c>
    </row>
    <row r="356" spans="1:6">
      <c r="A356" s="184">
        <v>8</v>
      </c>
      <c r="B356" s="96" t="s">
        <v>128</v>
      </c>
      <c r="C356" s="185" t="s">
        <v>129</v>
      </c>
      <c r="D356" s="189"/>
      <c r="E356" s="186">
        <v>0</v>
      </c>
      <c r="F356" s="130">
        <f t="shared" si="10"/>
        <v>0</v>
      </c>
    </row>
    <row r="357" spans="1:6">
      <c r="A357" s="184"/>
      <c r="B357" s="96" t="s">
        <v>130</v>
      </c>
      <c r="C357" s="185"/>
      <c r="D357" s="190">
        <v>56.52</v>
      </c>
      <c r="E357" s="186">
        <v>2.5000000000000001E-3</v>
      </c>
      <c r="F357" s="130">
        <f t="shared" si="10"/>
        <v>0.14130000000000001</v>
      </c>
    </row>
    <row r="358" spans="1:6">
      <c r="A358" s="184"/>
      <c r="B358" s="96" t="s">
        <v>24</v>
      </c>
      <c r="C358" s="185"/>
      <c r="D358" s="189">
        <v>26.64</v>
      </c>
      <c r="E358" s="186">
        <v>1E-3</v>
      </c>
      <c r="F358" s="130">
        <f t="shared" si="10"/>
        <v>2.664E-2</v>
      </c>
    </row>
    <row r="359" spans="1:6">
      <c r="A359" s="184">
        <v>9</v>
      </c>
      <c r="B359" s="54" t="s">
        <v>8</v>
      </c>
      <c r="C359" s="185" t="s">
        <v>45</v>
      </c>
      <c r="D359" s="88">
        <v>1.23</v>
      </c>
      <c r="E359" s="186">
        <v>1.38</v>
      </c>
      <c r="F359" s="130">
        <f t="shared" si="10"/>
        <v>1.6973999999999998</v>
      </c>
    </row>
    <row r="360" spans="1:6">
      <c r="A360" s="184"/>
      <c r="B360" s="91" t="s">
        <v>51</v>
      </c>
      <c r="C360" s="185"/>
      <c r="D360" s="104">
        <v>0.32</v>
      </c>
      <c r="E360" s="186">
        <v>300</v>
      </c>
      <c r="F360" s="130">
        <f t="shared" si="10"/>
        <v>96</v>
      </c>
    </row>
    <row r="361" spans="1:6">
      <c r="A361" s="184">
        <v>10</v>
      </c>
      <c r="B361" s="95" t="s">
        <v>11</v>
      </c>
      <c r="C361" s="185" t="s">
        <v>45</v>
      </c>
      <c r="D361" s="88">
        <v>1.23</v>
      </c>
      <c r="E361" s="186">
        <v>1.1599999999999999</v>
      </c>
      <c r="F361" s="130">
        <f t="shared" si="10"/>
        <v>1.4267999999999998</v>
      </c>
    </row>
    <row r="362" spans="1:6">
      <c r="A362" s="184">
        <v>11</v>
      </c>
      <c r="B362" s="95" t="s">
        <v>44</v>
      </c>
      <c r="C362" s="185" t="s">
        <v>45</v>
      </c>
      <c r="D362" s="88">
        <v>1.23</v>
      </c>
      <c r="E362" s="186">
        <v>2.16</v>
      </c>
      <c r="F362" s="130">
        <f t="shared" si="10"/>
        <v>2.6568000000000001</v>
      </c>
    </row>
    <row r="363" spans="1:6">
      <c r="A363" s="184">
        <v>12</v>
      </c>
      <c r="B363" s="191" t="s">
        <v>224</v>
      </c>
      <c r="C363" s="185" t="s">
        <v>21</v>
      </c>
      <c r="D363" s="88">
        <v>1.23</v>
      </c>
      <c r="E363" s="186">
        <v>25.48</v>
      </c>
      <c r="F363" s="130">
        <f t="shared" si="10"/>
        <v>31.340399999999999</v>
      </c>
    </row>
    <row r="364" spans="1:6">
      <c r="A364" s="184">
        <v>13</v>
      </c>
      <c r="B364" s="191" t="s">
        <v>225</v>
      </c>
      <c r="C364" s="185" t="s">
        <v>21</v>
      </c>
      <c r="D364" s="189"/>
      <c r="E364" s="186">
        <v>0</v>
      </c>
      <c r="F364" s="130">
        <f t="shared" si="10"/>
        <v>0</v>
      </c>
    </row>
    <row r="365" spans="1:6">
      <c r="A365" s="184">
        <v>14</v>
      </c>
      <c r="B365" s="95" t="s">
        <v>134</v>
      </c>
      <c r="C365" s="185" t="s">
        <v>21</v>
      </c>
      <c r="D365" s="88">
        <v>1.23</v>
      </c>
      <c r="E365" s="186">
        <v>40</v>
      </c>
      <c r="F365" s="130">
        <f t="shared" si="10"/>
        <v>49.2</v>
      </c>
    </row>
    <row r="366" spans="1:6">
      <c r="A366" s="184">
        <v>15</v>
      </c>
      <c r="B366" s="96" t="s">
        <v>22</v>
      </c>
      <c r="C366" s="185" t="s">
        <v>21</v>
      </c>
      <c r="D366" s="88">
        <v>1.23</v>
      </c>
      <c r="E366" s="186">
        <v>0.92</v>
      </c>
      <c r="F366" s="130">
        <f t="shared" si="10"/>
        <v>1.1315999999999999</v>
      </c>
    </row>
    <row r="367" spans="1:6">
      <c r="A367" s="184"/>
      <c r="B367" s="191" t="s">
        <v>226</v>
      </c>
      <c r="C367" s="185"/>
      <c r="D367" s="188"/>
      <c r="E367" s="186">
        <v>2</v>
      </c>
      <c r="F367" s="130">
        <f t="shared" si="10"/>
        <v>0</v>
      </c>
    </row>
    <row r="368" spans="1:6">
      <c r="A368" s="184"/>
      <c r="B368" s="191" t="s">
        <v>227</v>
      </c>
      <c r="C368" s="185"/>
      <c r="D368" s="190">
        <v>56.52</v>
      </c>
      <c r="E368" s="186">
        <v>0.5</v>
      </c>
      <c r="F368" s="130">
        <f t="shared" si="10"/>
        <v>28.26</v>
      </c>
    </row>
    <row r="369" spans="1:7">
      <c r="A369" s="184">
        <v>16</v>
      </c>
      <c r="B369" s="191" t="s">
        <v>77</v>
      </c>
      <c r="C369" s="185" t="s">
        <v>21</v>
      </c>
      <c r="D369" s="88">
        <v>1.23</v>
      </c>
      <c r="E369" s="186">
        <v>2.64</v>
      </c>
      <c r="F369" s="130">
        <f t="shared" si="10"/>
        <v>3.2472000000000003</v>
      </c>
    </row>
    <row r="370" spans="1:7">
      <c r="A370" s="184">
        <v>17</v>
      </c>
      <c r="B370" s="95" t="s">
        <v>134</v>
      </c>
      <c r="C370" s="185" t="s">
        <v>54</v>
      </c>
      <c r="D370" s="88">
        <v>1.23</v>
      </c>
      <c r="E370" s="186">
        <v>40</v>
      </c>
      <c r="F370" s="130">
        <f t="shared" si="10"/>
        <v>49.2</v>
      </c>
    </row>
    <row r="371" spans="1:7">
      <c r="A371" s="184">
        <v>18</v>
      </c>
      <c r="B371" s="96" t="s">
        <v>147</v>
      </c>
      <c r="C371" s="185" t="s">
        <v>26</v>
      </c>
      <c r="D371" s="88">
        <v>1.23</v>
      </c>
      <c r="E371" s="186">
        <f>0.92*4</f>
        <v>3.68</v>
      </c>
      <c r="F371" s="130">
        <f t="shared" si="10"/>
        <v>4.5263999999999998</v>
      </c>
    </row>
    <row r="372" spans="1:7">
      <c r="A372" s="184"/>
      <c r="B372" s="193" t="s">
        <v>210</v>
      </c>
      <c r="C372" s="185"/>
      <c r="D372" s="189">
        <v>6.46</v>
      </c>
      <c r="E372" s="186">
        <v>2.5</v>
      </c>
      <c r="F372" s="130">
        <f t="shared" si="10"/>
        <v>16.149999999999999</v>
      </c>
    </row>
    <row r="373" spans="1:7">
      <c r="A373" s="184"/>
      <c r="B373" s="193" t="s">
        <v>192</v>
      </c>
      <c r="C373" s="185"/>
      <c r="D373" s="189">
        <v>22.64</v>
      </c>
      <c r="E373" s="186">
        <v>2.5</v>
      </c>
      <c r="F373" s="130">
        <f t="shared" si="10"/>
        <v>56.6</v>
      </c>
    </row>
    <row r="374" spans="1:7">
      <c r="A374" s="184"/>
      <c r="B374" s="193" t="s">
        <v>228</v>
      </c>
      <c r="C374" s="185"/>
      <c r="D374" s="188">
        <v>91.24</v>
      </c>
      <c r="E374" s="186">
        <v>0.75</v>
      </c>
      <c r="F374" s="130">
        <f t="shared" si="10"/>
        <v>68.429999999999993</v>
      </c>
    </row>
    <row r="375" spans="1:7">
      <c r="A375" s="184"/>
      <c r="B375" s="193" t="s">
        <v>229</v>
      </c>
      <c r="C375" s="185"/>
      <c r="D375" s="227">
        <v>10.01</v>
      </c>
      <c r="E375" s="186">
        <v>5</v>
      </c>
      <c r="F375" s="130">
        <f t="shared" si="10"/>
        <v>50.05</v>
      </c>
    </row>
    <row r="376" spans="1:7">
      <c r="A376" s="184">
        <v>19</v>
      </c>
      <c r="B376" s="95" t="s">
        <v>134</v>
      </c>
      <c r="C376" s="185" t="s">
        <v>54</v>
      </c>
      <c r="D376" s="88">
        <v>1.23</v>
      </c>
      <c r="E376" s="186">
        <v>40</v>
      </c>
      <c r="F376" s="130">
        <f t="shared" si="10"/>
        <v>49.2</v>
      </c>
    </row>
    <row r="377" spans="1:7">
      <c r="A377" s="184">
        <v>20</v>
      </c>
      <c r="B377" s="191" t="s">
        <v>53</v>
      </c>
      <c r="C377" s="185" t="s">
        <v>54</v>
      </c>
      <c r="D377" s="88">
        <v>1.23</v>
      </c>
      <c r="E377" s="186">
        <v>2.64</v>
      </c>
      <c r="F377" s="130">
        <f t="shared" si="10"/>
        <v>3.2472000000000003</v>
      </c>
    </row>
    <row r="378" spans="1:7">
      <c r="A378" s="184">
        <v>21</v>
      </c>
      <c r="B378" s="95" t="s">
        <v>230</v>
      </c>
      <c r="C378" s="185" t="s">
        <v>26</v>
      </c>
      <c r="D378" s="88">
        <v>1.23</v>
      </c>
      <c r="E378" s="186">
        <f>40*4</f>
        <v>160</v>
      </c>
      <c r="F378" s="130">
        <f t="shared" si="10"/>
        <v>196.8</v>
      </c>
    </row>
    <row r="379" spans="1:7">
      <c r="A379" s="184">
        <v>22</v>
      </c>
      <c r="B379" s="191" t="s">
        <v>231</v>
      </c>
      <c r="C379" s="92" t="s">
        <v>232</v>
      </c>
      <c r="D379" s="189"/>
      <c r="E379" s="186">
        <v>0</v>
      </c>
      <c r="F379" s="130">
        <f t="shared" si="10"/>
        <v>0</v>
      </c>
    </row>
    <row r="380" spans="1:7" ht="13.5" thickBot="1">
      <c r="A380" s="30">
        <v>23</v>
      </c>
      <c r="B380" s="105" t="s">
        <v>224</v>
      </c>
      <c r="C380" s="199" t="s">
        <v>232</v>
      </c>
      <c r="D380" s="208">
        <v>1.23</v>
      </c>
      <c r="E380" s="108">
        <v>90</v>
      </c>
      <c r="F380" s="68">
        <f t="shared" si="10"/>
        <v>110.7</v>
      </c>
    </row>
    <row r="381" spans="1:7">
      <c r="A381" s="454" t="s">
        <v>30</v>
      </c>
      <c r="B381" s="455"/>
      <c r="C381" s="110"/>
      <c r="D381" s="202"/>
      <c r="E381" s="203"/>
      <c r="F381" s="222">
        <f>SUM(F347:F380)</f>
        <v>1433.8679400000001</v>
      </c>
      <c r="G381" s="226">
        <f>F343*F381</f>
        <v>0</v>
      </c>
    </row>
    <row r="382" spans="1:7" ht="13.5" thickBot="1">
      <c r="A382" s="467" t="s">
        <v>31</v>
      </c>
      <c r="B382" s="468"/>
      <c r="C382" s="469"/>
      <c r="D382" s="105"/>
      <c r="E382" s="205">
        <f>E347+E348+E349+E350+E351+E353+E354+E359+E361+E362+E363+E365+E366+E369+E370+E371+E376+E377+E378+E380</f>
        <v>527</v>
      </c>
      <c r="F382" s="206"/>
      <c r="G382" s="118" t="s">
        <v>277</v>
      </c>
    </row>
    <row r="383" spans="1:7" ht="13.5" thickBot="1"/>
    <row r="384" spans="1:7" ht="12" customHeight="1">
      <c r="A384" s="456" t="s">
        <v>669</v>
      </c>
      <c r="B384" s="457"/>
      <c r="C384" s="457"/>
      <c r="D384" s="457"/>
      <c r="E384" s="457"/>
      <c r="F384" s="458"/>
    </row>
    <row r="385" spans="1:6" ht="15" customHeight="1">
      <c r="A385" s="459"/>
      <c r="B385" s="460"/>
      <c r="C385" s="460"/>
      <c r="D385" s="460"/>
      <c r="E385" s="460"/>
      <c r="F385" s="461"/>
    </row>
    <row r="386" spans="1:6" ht="15" customHeight="1" thickBot="1">
      <c r="A386" s="462"/>
      <c r="B386" s="463"/>
      <c r="C386" s="463"/>
      <c r="D386" s="463"/>
      <c r="E386" s="463"/>
      <c r="F386" s="464"/>
    </row>
    <row r="387" spans="1:6" ht="13.5" thickBot="1"/>
    <row r="388" spans="1:6" ht="13.5" thickBot="1">
      <c r="B388" s="2" t="s">
        <v>233</v>
      </c>
      <c r="C388" s="2"/>
      <c r="D388" s="470" t="s">
        <v>1</v>
      </c>
      <c r="E388" s="471"/>
      <c r="F388" s="81">
        <v>0</v>
      </c>
    </row>
    <row r="389" spans="1:6" ht="13.5" thickBot="1"/>
    <row r="390" spans="1:6" ht="11.25" customHeight="1">
      <c r="A390" s="472" t="s">
        <v>276</v>
      </c>
      <c r="B390" s="473"/>
      <c r="C390" s="473"/>
      <c r="D390" s="473"/>
      <c r="E390" s="465" t="s">
        <v>2</v>
      </c>
      <c r="F390" s="466"/>
    </row>
    <row r="391" spans="1:6" ht="51.75" thickBot="1">
      <c r="A391" s="372" t="s">
        <v>716</v>
      </c>
      <c r="B391" s="84" t="s">
        <v>3</v>
      </c>
      <c r="C391" s="84" t="s">
        <v>4</v>
      </c>
      <c r="D391" s="84" t="s">
        <v>5</v>
      </c>
      <c r="E391" s="85" t="s">
        <v>6</v>
      </c>
      <c r="F391" s="86" t="s">
        <v>7</v>
      </c>
    </row>
    <row r="392" spans="1:6" ht="13.5" thickTop="1">
      <c r="A392" s="119">
        <v>1</v>
      </c>
      <c r="B392" s="54" t="s">
        <v>8</v>
      </c>
      <c r="C392" s="87" t="s">
        <v>9</v>
      </c>
      <c r="D392" s="88">
        <v>1.23</v>
      </c>
      <c r="E392" s="89">
        <v>1.2</v>
      </c>
      <c r="F392" s="90">
        <f>E392*D392</f>
        <v>1.476</v>
      </c>
    </row>
    <row r="393" spans="1:6">
      <c r="A393" s="17"/>
      <c r="B393" s="91" t="s">
        <v>10</v>
      </c>
      <c r="C393" s="92"/>
      <c r="D393" s="93">
        <v>0.35</v>
      </c>
      <c r="E393" s="94">
        <v>300</v>
      </c>
      <c r="F393" s="122">
        <f>E393*D393</f>
        <v>105</v>
      </c>
    </row>
    <row r="394" spans="1:6">
      <c r="A394" s="17">
        <v>2</v>
      </c>
      <c r="B394" s="95" t="s">
        <v>11</v>
      </c>
      <c r="C394" s="92" t="s">
        <v>9</v>
      </c>
      <c r="D394" s="88">
        <v>1.23</v>
      </c>
      <c r="E394" s="94">
        <v>1.1599999999999999</v>
      </c>
      <c r="F394" s="122">
        <f t="shared" ref="F394:F407" si="11">E394*D394</f>
        <v>1.4267999999999998</v>
      </c>
    </row>
    <row r="395" spans="1:6">
      <c r="A395" s="17">
        <v>3</v>
      </c>
      <c r="B395" s="96" t="s">
        <v>12</v>
      </c>
      <c r="C395" s="92" t="s">
        <v>9</v>
      </c>
      <c r="D395" s="88">
        <v>1.23</v>
      </c>
      <c r="E395" s="94">
        <v>20.28</v>
      </c>
      <c r="F395" s="122">
        <f t="shared" si="11"/>
        <v>24.944400000000002</v>
      </c>
    </row>
    <row r="396" spans="1:6">
      <c r="A396" s="17">
        <v>4</v>
      </c>
      <c r="B396" s="91" t="s">
        <v>13</v>
      </c>
      <c r="C396" s="92" t="s">
        <v>9</v>
      </c>
      <c r="D396" s="88">
        <v>1.23</v>
      </c>
      <c r="E396" s="94">
        <v>3.78</v>
      </c>
      <c r="F396" s="122">
        <f t="shared" si="11"/>
        <v>4.6494</v>
      </c>
    </row>
    <row r="397" spans="1:6">
      <c r="A397" s="17">
        <v>5</v>
      </c>
      <c r="B397" s="54" t="s">
        <v>8</v>
      </c>
      <c r="C397" s="92" t="s">
        <v>70</v>
      </c>
      <c r="D397" s="88">
        <v>1.23</v>
      </c>
      <c r="E397" s="94">
        <v>0.84</v>
      </c>
      <c r="F397" s="122">
        <f t="shared" si="11"/>
        <v>1.0331999999999999</v>
      </c>
    </row>
    <row r="398" spans="1:6">
      <c r="A398" s="17"/>
      <c r="B398" s="91" t="s">
        <v>51</v>
      </c>
      <c r="C398" s="92"/>
      <c r="D398" s="104">
        <v>0.32</v>
      </c>
      <c r="E398" s="94">
        <v>200</v>
      </c>
      <c r="F398" s="122">
        <f t="shared" si="11"/>
        <v>64</v>
      </c>
    </row>
    <row r="399" spans="1:6">
      <c r="A399" s="17">
        <v>6</v>
      </c>
      <c r="B399" s="95" t="s">
        <v>11</v>
      </c>
      <c r="C399" s="92" t="s">
        <v>70</v>
      </c>
      <c r="D399" s="88">
        <v>1.23</v>
      </c>
      <c r="E399" s="94">
        <v>1.1599999999999999</v>
      </c>
      <c r="F399" s="122">
        <f t="shared" si="11"/>
        <v>1.4267999999999998</v>
      </c>
    </row>
    <row r="400" spans="1:6">
      <c r="A400" s="17">
        <v>7</v>
      </c>
      <c r="B400" s="96" t="s">
        <v>20</v>
      </c>
      <c r="C400" s="92" t="s">
        <v>70</v>
      </c>
      <c r="D400" s="88">
        <v>1.23</v>
      </c>
      <c r="E400" s="94">
        <v>0.96</v>
      </c>
      <c r="F400" s="122">
        <f t="shared" si="11"/>
        <v>1.1807999999999998</v>
      </c>
    </row>
    <row r="401" spans="1:7">
      <c r="A401" s="17">
        <v>8</v>
      </c>
      <c r="B401" s="96" t="s">
        <v>83</v>
      </c>
      <c r="C401" s="92" t="s">
        <v>70</v>
      </c>
      <c r="D401" s="88">
        <v>1.23</v>
      </c>
      <c r="E401" s="94">
        <v>0.92</v>
      </c>
      <c r="F401" s="122">
        <f t="shared" si="11"/>
        <v>1.1315999999999999</v>
      </c>
    </row>
    <row r="402" spans="1:7">
      <c r="A402" s="17"/>
      <c r="B402" s="91" t="s">
        <v>64</v>
      </c>
      <c r="C402" s="92"/>
      <c r="D402" s="197">
        <v>26.65</v>
      </c>
      <c r="E402" s="94">
        <v>1.2</v>
      </c>
      <c r="F402" s="122">
        <f t="shared" si="11"/>
        <v>31.979999999999997</v>
      </c>
    </row>
    <row r="403" spans="1:7">
      <c r="A403" s="17">
        <v>9</v>
      </c>
      <c r="B403" s="91" t="s">
        <v>14</v>
      </c>
      <c r="C403" s="92" t="s">
        <v>70</v>
      </c>
      <c r="D403" s="88">
        <v>1.23</v>
      </c>
      <c r="E403" s="94">
        <v>2.2799999999999998</v>
      </c>
      <c r="F403" s="122">
        <f t="shared" si="11"/>
        <v>2.8043999999999998</v>
      </c>
    </row>
    <row r="404" spans="1:7">
      <c r="A404" s="17"/>
      <c r="B404" s="91" t="s">
        <v>16</v>
      </c>
      <c r="C404" s="92"/>
      <c r="D404" s="179">
        <v>24.22</v>
      </c>
      <c r="E404" s="94">
        <v>12</v>
      </c>
      <c r="F404" s="122">
        <f t="shared" si="11"/>
        <v>290.64</v>
      </c>
    </row>
    <row r="405" spans="1:7">
      <c r="A405" s="17">
        <v>10</v>
      </c>
      <c r="B405" s="91" t="s">
        <v>17</v>
      </c>
      <c r="C405" s="92" t="s">
        <v>70</v>
      </c>
      <c r="D405" s="88">
        <v>1.23</v>
      </c>
      <c r="E405" s="94">
        <v>2.96</v>
      </c>
      <c r="F405" s="122">
        <f t="shared" si="11"/>
        <v>3.6408</v>
      </c>
    </row>
    <row r="406" spans="1:7">
      <c r="A406" s="17">
        <v>11</v>
      </c>
      <c r="B406" s="96" t="s">
        <v>234</v>
      </c>
      <c r="C406" s="92" t="s">
        <v>21</v>
      </c>
      <c r="D406" s="104"/>
      <c r="E406" s="94">
        <v>0</v>
      </c>
      <c r="F406" s="122">
        <f t="shared" si="11"/>
        <v>0</v>
      </c>
    </row>
    <row r="407" spans="1:7" ht="13.5" thickBot="1">
      <c r="A407" s="30">
        <v>12</v>
      </c>
      <c r="B407" s="105" t="s">
        <v>235</v>
      </c>
      <c r="C407" s="106" t="s">
        <v>21</v>
      </c>
      <c r="D407" s="208">
        <v>1.23</v>
      </c>
      <c r="E407" s="108">
        <v>40</v>
      </c>
      <c r="F407" s="109">
        <f t="shared" si="11"/>
        <v>49.2</v>
      </c>
    </row>
    <row r="408" spans="1:7" ht="12.75" customHeight="1">
      <c r="A408" s="454" t="s">
        <v>30</v>
      </c>
      <c r="B408" s="455"/>
      <c r="C408" s="110"/>
      <c r="D408" s="111"/>
      <c r="E408" s="129"/>
      <c r="F408" s="130">
        <f>SUM(F392:F407)</f>
        <v>584.53419999999994</v>
      </c>
      <c r="G408" s="114">
        <f>F388*F408</f>
        <v>0</v>
      </c>
    </row>
    <row r="409" spans="1:7" ht="13.5" customHeight="1" thickBot="1">
      <c r="A409" s="467" t="s">
        <v>31</v>
      </c>
      <c r="B409" s="468"/>
      <c r="C409" s="469"/>
      <c r="D409" s="115"/>
      <c r="E409" s="116">
        <f>E392+E394+E395+E396+E397+E399+E400+E401+E403+E405+E407</f>
        <v>75.540000000000006</v>
      </c>
      <c r="F409" s="131"/>
      <c r="G409" s="118" t="s">
        <v>277</v>
      </c>
    </row>
    <row r="410" spans="1:7" ht="13.5" thickBot="1"/>
    <row r="411" spans="1:7" ht="12" customHeight="1">
      <c r="A411" s="456" t="s">
        <v>670</v>
      </c>
      <c r="B411" s="457"/>
      <c r="C411" s="457"/>
      <c r="D411" s="457"/>
      <c r="E411" s="457"/>
      <c r="F411" s="458"/>
    </row>
    <row r="412" spans="1:7" ht="15" customHeight="1">
      <c r="A412" s="459"/>
      <c r="B412" s="460"/>
      <c r="C412" s="460"/>
      <c r="D412" s="460"/>
      <c r="E412" s="460"/>
      <c r="F412" s="461"/>
    </row>
    <row r="413" spans="1:7" ht="15" customHeight="1" thickBot="1">
      <c r="A413" s="462"/>
      <c r="B413" s="463"/>
      <c r="C413" s="463"/>
      <c r="D413" s="463"/>
      <c r="E413" s="463"/>
      <c r="F413" s="464"/>
    </row>
    <row r="414" spans="1:7" ht="13.5" thickBot="1"/>
    <row r="415" spans="1:7" ht="13.5" thickBot="1">
      <c r="B415" s="2" t="s">
        <v>236</v>
      </c>
      <c r="C415" s="2"/>
      <c r="D415" s="470" t="s">
        <v>1</v>
      </c>
      <c r="E415" s="471"/>
      <c r="F415" s="81">
        <v>0</v>
      </c>
    </row>
    <row r="416" spans="1:7" ht="13.5" thickBot="1"/>
    <row r="417" spans="1:6" ht="11.25" customHeight="1">
      <c r="A417" s="472" t="s">
        <v>276</v>
      </c>
      <c r="B417" s="473"/>
      <c r="C417" s="473"/>
      <c r="D417" s="473"/>
      <c r="E417" s="465" t="s">
        <v>2</v>
      </c>
      <c r="F417" s="466"/>
    </row>
    <row r="418" spans="1:6" ht="51.75" thickBot="1">
      <c r="A418" s="372" t="s">
        <v>716</v>
      </c>
      <c r="B418" s="84" t="s">
        <v>3</v>
      </c>
      <c r="C418" s="84" t="s">
        <v>4</v>
      </c>
      <c r="D418" s="84" t="s">
        <v>5</v>
      </c>
      <c r="E418" s="85" t="s">
        <v>6</v>
      </c>
      <c r="F418" s="86" t="s">
        <v>7</v>
      </c>
    </row>
    <row r="419" spans="1:6" ht="13.5" thickTop="1">
      <c r="A419" s="184">
        <v>1</v>
      </c>
      <c r="B419" s="135" t="s">
        <v>183</v>
      </c>
      <c r="C419" s="185" t="s">
        <v>34</v>
      </c>
      <c r="D419" s="88">
        <v>1.23</v>
      </c>
      <c r="E419" s="186">
        <v>17.579999999999998</v>
      </c>
      <c r="F419" s="187">
        <f>(E419*D419)</f>
        <v>21.623399999999997</v>
      </c>
    </row>
    <row r="420" spans="1:6">
      <c r="A420" s="184">
        <v>2</v>
      </c>
      <c r="B420" s="54" t="s">
        <v>39</v>
      </c>
      <c r="C420" s="185" t="s">
        <v>96</v>
      </c>
      <c r="D420" s="88">
        <v>1.23</v>
      </c>
      <c r="E420" s="186">
        <v>15.08</v>
      </c>
      <c r="F420" s="187">
        <f>(E420*D420)</f>
        <v>18.548400000000001</v>
      </c>
    </row>
    <row r="421" spans="1:6">
      <c r="A421" s="184">
        <v>3</v>
      </c>
      <c r="B421" s="96" t="s">
        <v>40</v>
      </c>
      <c r="C421" s="185" t="s">
        <v>96</v>
      </c>
      <c r="D421" s="88">
        <v>1.23</v>
      </c>
      <c r="E421" s="186">
        <v>90</v>
      </c>
      <c r="F421" s="187">
        <f t="shared" ref="F421:F448" si="12">(E421*D421)</f>
        <v>110.7</v>
      </c>
    </row>
    <row r="422" spans="1:6">
      <c r="A422" s="184">
        <v>4</v>
      </c>
      <c r="B422" s="96" t="s">
        <v>12</v>
      </c>
      <c r="C422" s="185" t="s">
        <v>96</v>
      </c>
      <c r="D422" s="88">
        <v>1.23</v>
      </c>
      <c r="E422" s="186">
        <v>21.66</v>
      </c>
      <c r="F422" s="187">
        <f t="shared" si="12"/>
        <v>26.6418</v>
      </c>
    </row>
    <row r="423" spans="1:6">
      <c r="A423" s="184">
        <v>5</v>
      </c>
      <c r="B423" s="54" t="s">
        <v>8</v>
      </c>
      <c r="C423" s="185" t="s">
        <v>43</v>
      </c>
      <c r="D423" s="88">
        <v>1.23</v>
      </c>
      <c r="E423" s="186">
        <v>2.16</v>
      </c>
      <c r="F423" s="187">
        <f t="shared" si="12"/>
        <v>2.6568000000000001</v>
      </c>
    </row>
    <row r="424" spans="1:6">
      <c r="A424" s="184"/>
      <c r="B424" s="91" t="s">
        <v>69</v>
      </c>
      <c r="C424" s="185"/>
      <c r="D424" s="93">
        <v>0.34</v>
      </c>
      <c r="E424" s="186">
        <v>500</v>
      </c>
      <c r="F424" s="187">
        <f t="shared" si="12"/>
        <v>170</v>
      </c>
    </row>
    <row r="425" spans="1:6">
      <c r="A425" s="184">
        <v>6</v>
      </c>
      <c r="B425" s="95" t="s">
        <v>11</v>
      </c>
      <c r="C425" s="185" t="s">
        <v>43</v>
      </c>
      <c r="D425" s="88">
        <v>1.23</v>
      </c>
      <c r="E425" s="186">
        <v>1.1599999999999999</v>
      </c>
      <c r="F425" s="187">
        <f t="shared" si="12"/>
        <v>1.4267999999999998</v>
      </c>
    </row>
    <row r="426" spans="1:6">
      <c r="A426" s="184">
        <v>7</v>
      </c>
      <c r="B426" s="96" t="s">
        <v>12</v>
      </c>
      <c r="C426" s="185" t="s">
        <v>43</v>
      </c>
      <c r="D426" s="88">
        <v>1.23</v>
      </c>
      <c r="E426" s="186">
        <v>21.66</v>
      </c>
      <c r="F426" s="187">
        <f t="shared" si="12"/>
        <v>26.6418</v>
      </c>
    </row>
    <row r="427" spans="1:6">
      <c r="A427" s="184"/>
      <c r="B427" s="96" t="s">
        <v>16</v>
      </c>
      <c r="C427" s="185" t="s">
        <v>70</v>
      </c>
      <c r="D427" s="188">
        <v>130</v>
      </c>
      <c r="E427" s="186">
        <v>1.5</v>
      </c>
      <c r="F427" s="187">
        <f t="shared" si="12"/>
        <v>195</v>
      </c>
    </row>
    <row r="428" spans="1:6">
      <c r="A428" s="184">
        <v>8</v>
      </c>
      <c r="B428" s="54" t="s">
        <v>8</v>
      </c>
      <c r="C428" s="185" t="s">
        <v>45</v>
      </c>
      <c r="D428" s="88">
        <v>1.23</v>
      </c>
      <c r="E428" s="186">
        <v>1.38</v>
      </c>
      <c r="F428" s="187">
        <f t="shared" si="12"/>
        <v>1.6973999999999998</v>
      </c>
    </row>
    <row r="429" spans="1:6">
      <c r="A429" s="184"/>
      <c r="B429" s="91" t="s">
        <v>19</v>
      </c>
      <c r="C429" s="185"/>
      <c r="D429" s="97">
        <v>0.26</v>
      </c>
      <c r="E429" s="186">
        <v>300</v>
      </c>
      <c r="F429" s="187">
        <f t="shared" si="12"/>
        <v>78</v>
      </c>
    </row>
    <row r="430" spans="1:6">
      <c r="A430" s="184">
        <v>9</v>
      </c>
      <c r="B430" s="95" t="s">
        <v>11</v>
      </c>
      <c r="C430" s="185" t="s">
        <v>45</v>
      </c>
      <c r="D430" s="88">
        <v>1.23</v>
      </c>
      <c r="E430" s="186">
        <v>1.1599999999999999</v>
      </c>
      <c r="F430" s="187">
        <f t="shared" si="12"/>
        <v>1.4267999999999998</v>
      </c>
    </row>
    <row r="431" spans="1:6">
      <c r="A431" s="184">
        <v>10</v>
      </c>
      <c r="B431" s="96" t="s">
        <v>83</v>
      </c>
      <c r="C431" s="185" t="s">
        <v>45</v>
      </c>
      <c r="D431" s="88">
        <v>1.23</v>
      </c>
      <c r="E431" s="186">
        <v>0.92</v>
      </c>
      <c r="F431" s="187">
        <f t="shared" si="12"/>
        <v>1.1315999999999999</v>
      </c>
    </row>
    <row r="432" spans="1:6">
      <c r="A432" s="184"/>
      <c r="B432" s="191" t="s">
        <v>64</v>
      </c>
      <c r="C432" s="185"/>
      <c r="D432" s="197">
        <v>26.65</v>
      </c>
      <c r="E432" s="186">
        <v>1.2</v>
      </c>
      <c r="F432" s="187">
        <f t="shared" si="12"/>
        <v>31.979999999999997</v>
      </c>
    </row>
    <row r="433" spans="1:6">
      <c r="A433" s="184">
        <v>11</v>
      </c>
      <c r="B433" s="95" t="s">
        <v>44</v>
      </c>
      <c r="C433" s="185" t="s">
        <v>45</v>
      </c>
      <c r="D433" s="88">
        <v>1.23</v>
      </c>
      <c r="E433" s="186">
        <v>2.16</v>
      </c>
      <c r="F433" s="187">
        <f t="shared" si="12"/>
        <v>2.6568000000000001</v>
      </c>
    </row>
    <row r="434" spans="1:6">
      <c r="A434" s="184">
        <v>12</v>
      </c>
      <c r="B434" s="191" t="s">
        <v>237</v>
      </c>
      <c r="C434" s="185" t="s">
        <v>21</v>
      </c>
      <c r="D434" s="88">
        <v>1.23</v>
      </c>
      <c r="E434" s="186">
        <v>25.48</v>
      </c>
      <c r="F434" s="187">
        <f t="shared" si="12"/>
        <v>31.340399999999999</v>
      </c>
    </row>
    <row r="435" spans="1:6">
      <c r="A435" s="184">
        <v>13</v>
      </c>
      <c r="B435" s="191" t="s">
        <v>238</v>
      </c>
      <c r="C435" s="185" t="s">
        <v>21</v>
      </c>
      <c r="D435" s="189"/>
      <c r="E435" s="186">
        <v>0</v>
      </c>
      <c r="F435" s="187">
        <f t="shared" si="12"/>
        <v>0</v>
      </c>
    </row>
    <row r="436" spans="1:6">
      <c r="A436" s="184"/>
      <c r="B436" s="191" t="s">
        <v>239</v>
      </c>
      <c r="C436" s="185"/>
      <c r="D436" s="360">
        <v>68.63</v>
      </c>
      <c r="E436" s="186">
        <v>1</v>
      </c>
      <c r="F436" s="187">
        <f t="shared" si="12"/>
        <v>68.63</v>
      </c>
    </row>
    <row r="437" spans="1:6">
      <c r="A437" s="184">
        <v>14</v>
      </c>
      <c r="B437" s="95" t="s">
        <v>134</v>
      </c>
      <c r="C437" s="185" t="s">
        <v>21</v>
      </c>
      <c r="D437" s="88">
        <v>1.23</v>
      </c>
      <c r="E437" s="186">
        <v>10</v>
      </c>
      <c r="F437" s="187">
        <f t="shared" si="12"/>
        <v>12.3</v>
      </c>
    </row>
    <row r="438" spans="1:6">
      <c r="A438" s="184">
        <v>15</v>
      </c>
      <c r="B438" s="191" t="s">
        <v>77</v>
      </c>
      <c r="C438" s="185" t="s">
        <v>21</v>
      </c>
      <c r="D438" s="88">
        <v>1.23</v>
      </c>
      <c r="E438" s="186">
        <v>2.64</v>
      </c>
      <c r="F438" s="187">
        <f t="shared" si="12"/>
        <v>3.2472000000000003</v>
      </c>
    </row>
    <row r="439" spans="1:6">
      <c r="A439" s="17">
        <v>16</v>
      </c>
      <c r="B439" s="96" t="s">
        <v>147</v>
      </c>
      <c r="C439" s="133" t="s">
        <v>155</v>
      </c>
      <c r="D439" s="88">
        <v>1.23</v>
      </c>
      <c r="E439" s="134">
        <v>3.68</v>
      </c>
      <c r="F439" s="187">
        <f t="shared" si="12"/>
        <v>4.5263999999999998</v>
      </c>
    </row>
    <row r="440" spans="1:6">
      <c r="A440" s="17"/>
      <c r="B440" s="96" t="s">
        <v>210</v>
      </c>
      <c r="C440" s="92"/>
      <c r="D440" s="189">
        <v>6.46</v>
      </c>
      <c r="E440" s="94">
        <v>2.5</v>
      </c>
      <c r="F440" s="187">
        <f t="shared" si="12"/>
        <v>16.149999999999999</v>
      </c>
    </row>
    <row r="441" spans="1:6">
      <c r="A441" s="17"/>
      <c r="B441" s="96" t="s">
        <v>240</v>
      </c>
      <c r="C441" s="92"/>
      <c r="D441" s="189">
        <v>22.64</v>
      </c>
      <c r="E441" s="94">
        <v>2.5</v>
      </c>
      <c r="F441" s="187">
        <f t="shared" si="12"/>
        <v>56.6</v>
      </c>
    </row>
    <row r="442" spans="1:6">
      <c r="A442" s="17"/>
      <c r="B442" s="96" t="s">
        <v>241</v>
      </c>
      <c r="C442" s="92"/>
      <c r="D442" s="194">
        <v>26.24</v>
      </c>
      <c r="E442" s="94">
        <v>0.3</v>
      </c>
      <c r="F442" s="187">
        <f t="shared" si="12"/>
        <v>7.871999999999999</v>
      </c>
    </row>
    <row r="443" spans="1:6">
      <c r="A443" s="119"/>
      <c r="B443" s="229" t="s">
        <v>74</v>
      </c>
      <c r="C443" s="120"/>
      <c r="D443" s="197">
        <v>26.65</v>
      </c>
      <c r="E443" s="121">
        <v>1.2</v>
      </c>
      <c r="F443" s="187">
        <f t="shared" si="12"/>
        <v>31.979999999999997</v>
      </c>
    </row>
    <row r="444" spans="1:6">
      <c r="A444" s="184">
        <v>17</v>
      </c>
      <c r="B444" s="95" t="s">
        <v>134</v>
      </c>
      <c r="C444" s="185" t="s">
        <v>54</v>
      </c>
      <c r="D444" s="88">
        <v>1.23</v>
      </c>
      <c r="E444" s="186">
        <v>40</v>
      </c>
      <c r="F444" s="187">
        <f t="shared" si="12"/>
        <v>49.2</v>
      </c>
    </row>
    <row r="445" spans="1:6">
      <c r="A445" s="184">
        <v>18</v>
      </c>
      <c r="B445" s="191" t="s">
        <v>53</v>
      </c>
      <c r="C445" s="185" t="s">
        <v>54</v>
      </c>
      <c r="D445" s="88">
        <v>1.23</v>
      </c>
      <c r="E445" s="186">
        <v>2.64</v>
      </c>
      <c r="F445" s="187">
        <f t="shared" si="12"/>
        <v>3.2472000000000003</v>
      </c>
    </row>
    <row r="446" spans="1:6">
      <c r="A446" s="184">
        <v>19</v>
      </c>
      <c r="B446" s="95" t="s">
        <v>134</v>
      </c>
      <c r="C446" s="185" t="s">
        <v>34</v>
      </c>
      <c r="D446" s="88">
        <v>1.23</v>
      </c>
      <c r="E446" s="186">
        <v>40</v>
      </c>
      <c r="F446" s="187">
        <f t="shared" si="12"/>
        <v>49.2</v>
      </c>
    </row>
    <row r="447" spans="1:6">
      <c r="A447" s="184">
        <v>20</v>
      </c>
      <c r="B447" s="193" t="s">
        <v>242</v>
      </c>
      <c r="C447" s="185" t="s">
        <v>232</v>
      </c>
      <c r="D447" s="104"/>
      <c r="E447" s="186">
        <v>0</v>
      </c>
      <c r="F447" s="187">
        <f t="shared" si="12"/>
        <v>0</v>
      </c>
    </row>
    <row r="448" spans="1:6" ht="13.5" thickBot="1">
      <c r="A448" s="30">
        <v>21</v>
      </c>
      <c r="B448" s="105" t="s">
        <v>237</v>
      </c>
      <c r="C448" s="106" t="s">
        <v>232</v>
      </c>
      <c r="D448" s="208">
        <v>1.23</v>
      </c>
      <c r="E448" s="361">
        <v>37.5</v>
      </c>
      <c r="F448" s="109">
        <f t="shared" si="12"/>
        <v>46.125</v>
      </c>
    </row>
    <row r="449" spans="1:7">
      <c r="A449" s="454" t="s">
        <v>30</v>
      </c>
      <c r="B449" s="455"/>
      <c r="C449" s="110"/>
      <c r="D449" s="202"/>
      <c r="E449" s="203"/>
      <c r="F449" s="222">
        <f>SUM(F419:F448)</f>
        <v>1070.5498</v>
      </c>
      <c r="G449" s="226">
        <f>F415*F449</f>
        <v>0</v>
      </c>
    </row>
    <row r="450" spans="1:7" ht="13.5" thickBot="1">
      <c r="A450" s="467" t="s">
        <v>31</v>
      </c>
      <c r="B450" s="468"/>
      <c r="C450" s="469"/>
      <c r="D450" s="105"/>
      <c r="E450" s="205">
        <f>E419+E420+E421+E422+E423+E425+E426+E428+E430+E431+E433+E434+E437+E438+E439+E444+E445+E446+E447+E448</f>
        <v>336.8599999999999</v>
      </c>
      <c r="F450" s="206"/>
      <c r="G450" s="118" t="s">
        <v>277</v>
      </c>
    </row>
    <row r="451" spans="1:7" ht="13.5" thickBot="1"/>
    <row r="452" spans="1:7" ht="12" customHeight="1">
      <c r="A452" s="489" t="s">
        <v>671</v>
      </c>
      <c r="B452" s="490"/>
      <c r="C452" s="490"/>
      <c r="D452" s="490"/>
      <c r="E452" s="490"/>
      <c r="F452" s="491"/>
    </row>
    <row r="453" spans="1:7" ht="15" customHeight="1">
      <c r="A453" s="492"/>
      <c r="B453" s="493"/>
      <c r="C453" s="493"/>
      <c r="D453" s="493"/>
      <c r="E453" s="493"/>
      <c r="F453" s="494"/>
    </row>
    <row r="454" spans="1:7" ht="15" customHeight="1" thickBot="1">
      <c r="A454" s="495"/>
      <c r="B454" s="496"/>
      <c r="C454" s="496"/>
      <c r="D454" s="496"/>
      <c r="E454" s="496"/>
      <c r="F454" s="497"/>
    </row>
    <row r="455" spans="1:7" ht="13.5" thickBot="1"/>
    <row r="456" spans="1:7" ht="13.5" thickBot="1">
      <c r="B456" s="2" t="s">
        <v>243</v>
      </c>
      <c r="C456" s="2"/>
      <c r="D456" s="470" t="s">
        <v>1</v>
      </c>
      <c r="E456" s="471"/>
      <c r="F456" s="81">
        <v>0</v>
      </c>
    </row>
    <row r="457" spans="1:7" ht="13.5" thickBot="1"/>
    <row r="458" spans="1:7" ht="11.25" customHeight="1">
      <c r="A458" s="472" t="s">
        <v>276</v>
      </c>
      <c r="B458" s="473"/>
      <c r="C458" s="473"/>
      <c r="D458" s="473"/>
      <c r="E458" s="465" t="s">
        <v>2</v>
      </c>
      <c r="F458" s="466"/>
    </row>
    <row r="459" spans="1:7" ht="51.75" thickBot="1">
      <c r="A459" s="372" t="s">
        <v>716</v>
      </c>
      <c r="B459" s="84" t="s">
        <v>3</v>
      </c>
      <c r="C459" s="84" t="s">
        <v>4</v>
      </c>
      <c r="D459" s="84" t="s">
        <v>5</v>
      </c>
      <c r="E459" s="85" t="s">
        <v>6</v>
      </c>
      <c r="F459" s="86" t="s">
        <v>7</v>
      </c>
    </row>
    <row r="460" spans="1:7" ht="13.5" thickTop="1">
      <c r="A460" s="119">
        <v>1</v>
      </c>
      <c r="B460" s="54" t="s">
        <v>8</v>
      </c>
      <c r="C460" s="87" t="s">
        <v>9</v>
      </c>
      <c r="D460" s="88">
        <v>1.23</v>
      </c>
      <c r="E460" s="89">
        <v>1.2</v>
      </c>
      <c r="F460" s="90">
        <f>E460*D460</f>
        <v>1.476</v>
      </c>
    </row>
    <row r="461" spans="1:7">
      <c r="A461" s="17"/>
      <c r="B461" s="91" t="s">
        <v>10</v>
      </c>
      <c r="C461" s="92"/>
      <c r="D461" s="93">
        <v>0.35</v>
      </c>
      <c r="E461" s="94">
        <v>300</v>
      </c>
      <c r="F461" s="122">
        <f>E461*D461</f>
        <v>105</v>
      </c>
    </row>
    <row r="462" spans="1:7">
      <c r="A462" s="17">
        <v>2</v>
      </c>
      <c r="B462" s="95" t="s">
        <v>11</v>
      </c>
      <c r="C462" s="92" t="s">
        <v>9</v>
      </c>
      <c r="D462" s="88">
        <v>1.23</v>
      </c>
      <c r="E462" s="94">
        <v>1.1599999999999999</v>
      </c>
      <c r="F462" s="122">
        <f t="shared" ref="F462:F484" si="13">E462*D462</f>
        <v>1.4267999999999998</v>
      </c>
    </row>
    <row r="463" spans="1:7">
      <c r="A463" s="17">
        <v>3</v>
      </c>
      <c r="B463" s="96" t="s">
        <v>12</v>
      </c>
      <c r="C463" s="92" t="s">
        <v>9</v>
      </c>
      <c r="D463" s="88">
        <v>1.23</v>
      </c>
      <c r="E463" s="94">
        <v>20.28</v>
      </c>
      <c r="F463" s="122">
        <f t="shared" si="13"/>
        <v>24.944400000000002</v>
      </c>
    </row>
    <row r="464" spans="1:7">
      <c r="A464" s="17">
        <v>4</v>
      </c>
      <c r="B464" s="91" t="s">
        <v>13</v>
      </c>
      <c r="C464" s="92" t="s">
        <v>9</v>
      </c>
      <c r="D464" s="88">
        <v>1.23</v>
      </c>
      <c r="E464" s="94">
        <v>3.78</v>
      </c>
      <c r="F464" s="122">
        <f t="shared" si="13"/>
        <v>4.6494</v>
      </c>
    </row>
    <row r="465" spans="1:6">
      <c r="A465" s="184"/>
      <c r="B465" s="96" t="s">
        <v>16</v>
      </c>
      <c r="C465" s="185" t="s">
        <v>70</v>
      </c>
      <c r="D465" s="188">
        <v>4500</v>
      </c>
      <c r="E465" s="186">
        <v>0.1</v>
      </c>
      <c r="F465" s="122">
        <f t="shared" si="13"/>
        <v>450</v>
      </c>
    </row>
    <row r="466" spans="1:6">
      <c r="A466" s="17">
        <v>5</v>
      </c>
      <c r="B466" s="54" t="s">
        <v>8</v>
      </c>
      <c r="C466" s="92" t="s">
        <v>45</v>
      </c>
      <c r="D466" s="88">
        <v>1.23</v>
      </c>
      <c r="E466" s="94">
        <v>0.84</v>
      </c>
      <c r="F466" s="122">
        <f t="shared" si="13"/>
        <v>1.0331999999999999</v>
      </c>
    </row>
    <row r="467" spans="1:6">
      <c r="A467" s="17"/>
      <c r="B467" s="91" t="s">
        <v>51</v>
      </c>
      <c r="C467" s="92"/>
      <c r="D467" s="104">
        <v>0.32</v>
      </c>
      <c r="E467" s="94">
        <v>200</v>
      </c>
      <c r="F467" s="122">
        <f t="shared" si="13"/>
        <v>64</v>
      </c>
    </row>
    <row r="468" spans="1:6">
      <c r="A468" s="184">
        <v>6</v>
      </c>
      <c r="B468" s="95" t="s">
        <v>11</v>
      </c>
      <c r="C468" s="185" t="s">
        <v>45</v>
      </c>
      <c r="D468" s="88">
        <v>1.23</v>
      </c>
      <c r="E468" s="186">
        <v>1.1599999999999999</v>
      </c>
      <c r="F468" s="122">
        <f t="shared" si="13"/>
        <v>1.4267999999999998</v>
      </c>
    </row>
    <row r="469" spans="1:6">
      <c r="A469" s="184">
        <v>7</v>
      </c>
      <c r="B469" s="96" t="s">
        <v>83</v>
      </c>
      <c r="C469" s="185" t="s">
        <v>21</v>
      </c>
      <c r="D469" s="88">
        <v>1.23</v>
      </c>
      <c r="E469" s="186">
        <v>0.92</v>
      </c>
      <c r="F469" s="122">
        <f t="shared" si="13"/>
        <v>1.1315999999999999</v>
      </c>
    </row>
    <row r="470" spans="1:6">
      <c r="A470" s="184"/>
      <c r="B470" s="191" t="s">
        <v>197</v>
      </c>
      <c r="C470" s="185"/>
      <c r="D470" s="192">
        <v>8.8800000000000008</v>
      </c>
      <c r="E470" s="186">
        <v>5</v>
      </c>
      <c r="F470" s="122">
        <f t="shared" si="13"/>
        <v>44.400000000000006</v>
      </c>
    </row>
    <row r="471" spans="1:6">
      <c r="A471" s="184">
        <v>8</v>
      </c>
      <c r="B471" s="95" t="s">
        <v>44</v>
      </c>
      <c r="C471" s="185" t="s">
        <v>21</v>
      </c>
      <c r="D471" s="88">
        <v>1.23</v>
      </c>
      <c r="E471" s="186">
        <v>2.16</v>
      </c>
      <c r="F471" s="122">
        <f t="shared" si="13"/>
        <v>2.6568000000000001</v>
      </c>
    </row>
    <row r="472" spans="1:6">
      <c r="A472" s="184">
        <v>9</v>
      </c>
      <c r="B472" s="96" t="s">
        <v>244</v>
      </c>
      <c r="C472" s="185" t="s">
        <v>21</v>
      </c>
      <c r="D472" s="88">
        <v>1.23</v>
      </c>
      <c r="E472" s="186">
        <v>25.48</v>
      </c>
      <c r="F472" s="122">
        <f t="shared" si="13"/>
        <v>31.340399999999999</v>
      </c>
    </row>
    <row r="473" spans="1:6">
      <c r="A473" s="184">
        <v>10</v>
      </c>
      <c r="B473" s="230" t="s">
        <v>245</v>
      </c>
      <c r="C473" s="185" t="s">
        <v>21</v>
      </c>
      <c r="D473" s="189"/>
      <c r="E473" s="186">
        <v>0</v>
      </c>
      <c r="F473" s="122">
        <f t="shared" si="13"/>
        <v>0</v>
      </c>
    </row>
    <row r="474" spans="1:6">
      <c r="A474" s="184">
        <v>11</v>
      </c>
      <c r="B474" s="95" t="s">
        <v>134</v>
      </c>
      <c r="C474" s="185" t="s">
        <v>21</v>
      </c>
      <c r="D474" s="88">
        <v>1.23</v>
      </c>
      <c r="E474" s="186">
        <v>40</v>
      </c>
      <c r="F474" s="122">
        <f t="shared" si="13"/>
        <v>49.2</v>
      </c>
    </row>
    <row r="475" spans="1:6">
      <c r="A475" s="184">
        <v>12</v>
      </c>
      <c r="B475" s="191" t="s">
        <v>77</v>
      </c>
      <c r="C475" s="185" t="s">
        <v>21</v>
      </c>
      <c r="D475" s="88">
        <v>1.23</v>
      </c>
      <c r="E475" s="186">
        <v>2.64</v>
      </c>
      <c r="F475" s="122">
        <f t="shared" si="13"/>
        <v>3.2472000000000003</v>
      </c>
    </row>
    <row r="476" spans="1:6">
      <c r="A476" s="17">
        <v>13</v>
      </c>
      <c r="B476" s="162" t="s">
        <v>72</v>
      </c>
      <c r="C476" s="133" t="s">
        <v>146</v>
      </c>
      <c r="D476" s="88">
        <v>1.23</v>
      </c>
      <c r="E476" s="134">
        <v>4.5999999999999996</v>
      </c>
      <c r="F476" s="122">
        <f t="shared" si="13"/>
        <v>5.6579999999999995</v>
      </c>
    </row>
    <row r="477" spans="1:6">
      <c r="A477" s="17"/>
      <c r="B477" s="96" t="s">
        <v>246</v>
      </c>
      <c r="C477" s="92"/>
      <c r="D477" s="189">
        <v>52.89</v>
      </c>
      <c r="E477" s="94">
        <v>0.45</v>
      </c>
      <c r="F477" s="122">
        <f t="shared" si="13"/>
        <v>23.8005</v>
      </c>
    </row>
    <row r="478" spans="1:6">
      <c r="A478" s="17"/>
      <c r="B478" s="96" t="s">
        <v>247</v>
      </c>
      <c r="C478" s="92"/>
      <c r="D478" s="189">
        <v>6.46</v>
      </c>
      <c r="E478" s="94">
        <v>2.5</v>
      </c>
      <c r="F478" s="122">
        <f t="shared" si="13"/>
        <v>16.149999999999999</v>
      </c>
    </row>
    <row r="479" spans="1:6">
      <c r="A479" s="184"/>
      <c r="B479" s="162" t="s">
        <v>74</v>
      </c>
      <c r="C479" s="185"/>
      <c r="D479" s="197">
        <v>26.65</v>
      </c>
      <c r="E479" s="94">
        <v>1.2</v>
      </c>
      <c r="F479" s="122">
        <f t="shared" si="13"/>
        <v>31.979999999999997</v>
      </c>
    </row>
    <row r="480" spans="1:6">
      <c r="A480" s="184">
        <v>14</v>
      </c>
      <c r="B480" s="95" t="s">
        <v>134</v>
      </c>
      <c r="C480" s="185" t="s">
        <v>54</v>
      </c>
      <c r="D480" s="88">
        <v>1.23</v>
      </c>
      <c r="E480" s="186">
        <v>40</v>
      </c>
      <c r="F480" s="122">
        <f t="shared" si="13"/>
        <v>49.2</v>
      </c>
    </row>
    <row r="481" spans="1:7">
      <c r="A481" s="184">
        <v>15</v>
      </c>
      <c r="B481" s="191" t="s">
        <v>53</v>
      </c>
      <c r="C481" s="185" t="s">
        <v>54</v>
      </c>
      <c r="D481" s="88">
        <v>1.23</v>
      </c>
      <c r="E481" s="186">
        <v>2.64</v>
      </c>
      <c r="F481" s="122">
        <f t="shared" si="13"/>
        <v>3.2472000000000003</v>
      </c>
    </row>
    <row r="482" spans="1:7">
      <c r="A482" s="184">
        <v>16</v>
      </c>
      <c r="B482" s="95" t="s">
        <v>134</v>
      </c>
      <c r="C482" s="185" t="s">
        <v>232</v>
      </c>
      <c r="D482" s="88">
        <v>1.23</v>
      </c>
      <c r="E482" s="186">
        <f>40*2</f>
        <v>80</v>
      </c>
      <c r="F482" s="122">
        <f t="shared" si="13"/>
        <v>98.4</v>
      </c>
    </row>
    <row r="483" spans="1:7">
      <c r="A483" s="184">
        <v>17</v>
      </c>
      <c r="B483" s="193" t="s">
        <v>248</v>
      </c>
      <c r="C483" s="185" t="s">
        <v>232</v>
      </c>
      <c r="D483" s="104"/>
      <c r="E483" s="186">
        <v>0</v>
      </c>
      <c r="F483" s="122">
        <f t="shared" si="13"/>
        <v>0</v>
      </c>
    </row>
    <row r="484" spans="1:7" ht="13.5" thickBot="1">
      <c r="A484" s="30">
        <v>18</v>
      </c>
      <c r="B484" s="105" t="s">
        <v>244</v>
      </c>
      <c r="C484" s="106" t="s">
        <v>232</v>
      </c>
      <c r="D484" s="208">
        <v>1.23</v>
      </c>
      <c r="E484" s="108">
        <v>24</v>
      </c>
      <c r="F484" s="109">
        <f t="shared" si="13"/>
        <v>29.52</v>
      </c>
    </row>
    <row r="485" spans="1:7">
      <c r="A485" s="454" t="s">
        <v>30</v>
      </c>
      <c r="B485" s="455"/>
      <c r="C485" s="110"/>
      <c r="D485" s="202"/>
      <c r="E485" s="203"/>
      <c r="F485" s="222">
        <f>SUM(F460:F484)</f>
        <v>1043.8883000000001</v>
      </c>
      <c r="G485" s="226">
        <f>F456*F485</f>
        <v>0</v>
      </c>
    </row>
    <row r="486" spans="1:7" ht="13.5" thickBot="1">
      <c r="A486" s="467" t="s">
        <v>31</v>
      </c>
      <c r="B486" s="468"/>
      <c r="C486" s="469"/>
      <c r="D486" s="105"/>
      <c r="E486" s="205">
        <f>E460+E462+E463+E464+E466+E468+E469+E471+E472+E474+E475+E476+E480+E481+E482+E484</f>
        <v>250.85999999999999</v>
      </c>
      <c r="F486" s="206"/>
      <c r="G486" s="118" t="s">
        <v>277</v>
      </c>
    </row>
    <row r="487" spans="1:7" ht="13.5" thickBot="1"/>
    <row r="488" spans="1:7" ht="12" customHeight="1">
      <c r="A488" s="456" t="s">
        <v>672</v>
      </c>
      <c r="B488" s="457"/>
      <c r="C488" s="457"/>
      <c r="D488" s="457"/>
      <c r="E488" s="457"/>
      <c r="F488" s="458"/>
    </row>
    <row r="489" spans="1:7" ht="15" customHeight="1">
      <c r="A489" s="459"/>
      <c r="B489" s="460"/>
      <c r="C489" s="460"/>
      <c r="D489" s="460"/>
      <c r="E489" s="460"/>
      <c r="F489" s="461"/>
    </row>
    <row r="490" spans="1:7" ht="15" customHeight="1" thickBot="1">
      <c r="A490" s="462"/>
      <c r="B490" s="463"/>
      <c r="C490" s="463"/>
      <c r="D490" s="463"/>
      <c r="E490" s="463"/>
      <c r="F490" s="464"/>
    </row>
    <row r="491" spans="1:7" ht="13.5" thickBot="1"/>
    <row r="492" spans="1:7" ht="13.5" thickBot="1">
      <c r="B492" s="2" t="s">
        <v>249</v>
      </c>
      <c r="C492" s="2"/>
      <c r="D492" s="470" t="s">
        <v>1</v>
      </c>
      <c r="E492" s="471"/>
      <c r="F492" s="81">
        <v>0</v>
      </c>
    </row>
    <row r="493" spans="1:7" ht="13.5" thickBot="1"/>
    <row r="494" spans="1:7" ht="11.25" customHeight="1">
      <c r="A494" s="472" t="s">
        <v>276</v>
      </c>
      <c r="B494" s="473"/>
      <c r="C494" s="473"/>
      <c r="D494" s="473"/>
      <c r="E494" s="465" t="s">
        <v>2</v>
      </c>
      <c r="F494" s="466"/>
    </row>
    <row r="495" spans="1:7" ht="51.75" thickBot="1">
      <c r="A495" s="372" t="s">
        <v>716</v>
      </c>
      <c r="B495" s="84" t="s">
        <v>3</v>
      </c>
      <c r="C495" s="84" t="s">
        <v>4</v>
      </c>
      <c r="D495" s="84" t="s">
        <v>5</v>
      </c>
      <c r="E495" s="85" t="s">
        <v>6</v>
      </c>
      <c r="F495" s="86" t="s">
        <v>7</v>
      </c>
    </row>
    <row r="496" spans="1:7" ht="13.5" thickTop="1">
      <c r="A496" s="119">
        <v>1</v>
      </c>
      <c r="B496" s="54" t="s">
        <v>8</v>
      </c>
      <c r="C496" s="87" t="s">
        <v>9</v>
      </c>
      <c r="D496" s="88">
        <v>1.23</v>
      </c>
      <c r="E496" s="89">
        <v>1.2</v>
      </c>
      <c r="F496" s="90">
        <f>E496*D496</f>
        <v>1.476</v>
      </c>
    </row>
    <row r="497" spans="1:6">
      <c r="A497" s="17"/>
      <c r="B497" s="91" t="s">
        <v>10</v>
      </c>
      <c r="C497" s="92"/>
      <c r="D497" s="93">
        <v>0.35</v>
      </c>
      <c r="E497" s="94">
        <v>300</v>
      </c>
      <c r="F497" s="122">
        <f>E497*D497</f>
        <v>105</v>
      </c>
    </row>
    <row r="498" spans="1:6">
      <c r="A498" s="17">
        <v>2</v>
      </c>
      <c r="B498" s="95" t="s">
        <v>11</v>
      </c>
      <c r="C498" s="92" t="s">
        <v>9</v>
      </c>
      <c r="D498" s="88">
        <v>1.23</v>
      </c>
      <c r="E498" s="94">
        <v>1.1599999999999999</v>
      </c>
      <c r="F498" s="122">
        <f t="shared" ref="F498:F520" si="14">E498*D498</f>
        <v>1.4267999999999998</v>
      </c>
    </row>
    <row r="499" spans="1:6">
      <c r="A499" s="17">
        <v>3</v>
      </c>
      <c r="B499" s="96" t="s">
        <v>12</v>
      </c>
      <c r="C499" s="92" t="s">
        <v>9</v>
      </c>
      <c r="D499" s="88">
        <v>1.23</v>
      </c>
      <c r="E499" s="94">
        <v>20.28</v>
      </c>
      <c r="F499" s="122">
        <f t="shared" si="14"/>
        <v>24.944400000000002</v>
      </c>
    </row>
    <row r="500" spans="1:6">
      <c r="A500" s="17">
        <v>4</v>
      </c>
      <c r="B500" s="91" t="s">
        <v>13</v>
      </c>
      <c r="C500" s="92" t="s">
        <v>9</v>
      </c>
      <c r="D500" s="88">
        <v>1.23</v>
      </c>
      <c r="E500" s="94">
        <v>3.78</v>
      </c>
      <c r="F500" s="122">
        <f t="shared" si="14"/>
        <v>4.6494</v>
      </c>
    </row>
    <row r="501" spans="1:6">
      <c r="A501" s="184"/>
      <c r="B501" s="96" t="s">
        <v>16</v>
      </c>
      <c r="C501" s="185" t="s">
        <v>70</v>
      </c>
      <c r="D501" s="190">
        <v>1300.45</v>
      </c>
      <c r="E501" s="186">
        <v>0.5</v>
      </c>
      <c r="F501" s="122">
        <f t="shared" si="14"/>
        <v>650.22500000000002</v>
      </c>
    </row>
    <row r="502" spans="1:6">
      <c r="A502" s="17">
        <v>5</v>
      </c>
      <c r="B502" s="54" t="s">
        <v>8</v>
      </c>
      <c r="C502" s="92" t="s">
        <v>45</v>
      </c>
      <c r="D502" s="88">
        <v>1.23</v>
      </c>
      <c r="E502" s="94">
        <v>0.84</v>
      </c>
      <c r="F502" s="122">
        <f t="shared" si="14"/>
        <v>1.0331999999999999</v>
      </c>
    </row>
    <row r="503" spans="1:6">
      <c r="A503" s="17"/>
      <c r="B503" s="91" t="s">
        <v>51</v>
      </c>
      <c r="C503" s="92"/>
      <c r="D503" s="104">
        <v>0.32</v>
      </c>
      <c r="E503" s="94">
        <v>200</v>
      </c>
      <c r="F503" s="122">
        <f t="shared" si="14"/>
        <v>64</v>
      </c>
    </row>
    <row r="504" spans="1:6">
      <c r="A504" s="184">
        <v>6</v>
      </c>
      <c r="B504" s="95" t="s">
        <v>11</v>
      </c>
      <c r="C504" s="185" t="s">
        <v>45</v>
      </c>
      <c r="D504" s="88">
        <v>1.23</v>
      </c>
      <c r="E504" s="186">
        <v>1.1599999999999999</v>
      </c>
      <c r="F504" s="122">
        <f t="shared" si="14"/>
        <v>1.4267999999999998</v>
      </c>
    </row>
    <row r="505" spans="1:6">
      <c r="A505" s="184">
        <v>7</v>
      </c>
      <c r="B505" s="96" t="s">
        <v>22</v>
      </c>
      <c r="C505" s="185" t="s">
        <v>21</v>
      </c>
      <c r="D505" s="88">
        <v>1.23</v>
      </c>
      <c r="E505" s="186">
        <v>0.92</v>
      </c>
      <c r="F505" s="122">
        <f t="shared" si="14"/>
        <v>1.1315999999999999</v>
      </c>
    </row>
    <row r="506" spans="1:6">
      <c r="A506" s="184"/>
      <c r="B506" s="191" t="s">
        <v>197</v>
      </c>
      <c r="C506" s="185"/>
      <c r="D506" s="192">
        <v>8.8800000000000008</v>
      </c>
      <c r="E506" s="186">
        <v>5</v>
      </c>
      <c r="F506" s="122">
        <f t="shared" si="14"/>
        <v>44.400000000000006</v>
      </c>
    </row>
    <row r="507" spans="1:6">
      <c r="A507" s="184">
        <v>8</v>
      </c>
      <c r="B507" s="95" t="s">
        <v>44</v>
      </c>
      <c r="C507" s="185" t="s">
        <v>21</v>
      </c>
      <c r="D507" s="88">
        <v>1.23</v>
      </c>
      <c r="E507" s="186">
        <v>2.16</v>
      </c>
      <c r="F507" s="122">
        <f t="shared" si="14"/>
        <v>2.6568000000000001</v>
      </c>
    </row>
    <row r="508" spans="1:6">
      <c r="A508" s="184">
        <v>9</v>
      </c>
      <c r="B508" s="191" t="s">
        <v>250</v>
      </c>
      <c r="C508" s="185" t="s">
        <v>21</v>
      </c>
      <c r="D508" s="88">
        <v>1.23</v>
      </c>
      <c r="E508" s="186">
        <v>25.48</v>
      </c>
      <c r="F508" s="122">
        <f t="shared" si="14"/>
        <v>31.340399999999999</v>
      </c>
    </row>
    <row r="509" spans="1:6">
      <c r="A509" s="184">
        <v>10</v>
      </c>
      <c r="B509" s="191" t="s">
        <v>251</v>
      </c>
      <c r="C509" s="185" t="s">
        <v>21</v>
      </c>
      <c r="D509" s="189"/>
      <c r="E509" s="186">
        <v>0</v>
      </c>
      <c r="F509" s="122">
        <f t="shared" si="14"/>
        <v>0</v>
      </c>
    </row>
    <row r="510" spans="1:6">
      <c r="A510" s="184">
        <v>11</v>
      </c>
      <c r="B510" s="95" t="s">
        <v>134</v>
      </c>
      <c r="C510" s="185" t="s">
        <v>21</v>
      </c>
      <c r="D510" s="88">
        <v>1.23</v>
      </c>
      <c r="E510" s="186">
        <v>40</v>
      </c>
      <c r="F510" s="122">
        <f t="shared" si="14"/>
        <v>49.2</v>
      </c>
    </row>
    <row r="511" spans="1:6">
      <c r="A511" s="184">
        <v>12</v>
      </c>
      <c r="B511" s="191" t="s">
        <v>77</v>
      </c>
      <c r="C511" s="185" t="s">
        <v>21</v>
      </c>
      <c r="D511" s="88">
        <v>1.23</v>
      </c>
      <c r="E511" s="186">
        <v>2.64</v>
      </c>
      <c r="F511" s="122">
        <f t="shared" si="14"/>
        <v>3.2472000000000003</v>
      </c>
    </row>
    <row r="512" spans="1:6">
      <c r="A512" s="17">
        <v>13</v>
      </c>
      <c r="B512" s="96" t="s">
        <v>72</v>
      </c>
      <c r="C512" s="133" t="s">
        <v>146</v>
      </c>
      <c r="D512" s="88">
        <v>1.23</v>
      </c>
      <c r="E512" s="134">
        <v>4.5999999999999996</v>
      </c>
      <c r="F512" s="122">
        <f t="shared" si="14"/>
        <v>5.6579999999999995</v>
      </c>
    </row>
    <row r="513" spans="1:7">
      <c r="A513" s="17"/>
      <c r="B513" s="96" t="s">
        <v>246</v>
      </c>
      <c r="C513" s="92"/>
      <c r="D513" s="189">
        <v>52.89</v>
      </c>
      <c r="E513" s="94">
        <v>0.45</v>
      </c>
      <c r="F513" s="122">
        <f t="shared" si="14"/>
        <v>23.8005</v>
      </c>
    </row>
    <row r="514" spans="1:7">
      <c r="A514" s="17"/>
      <c r="B514" s="96" t="s">
        <v>247</v>
      </c>
      <c r="C514" s="92"/>
      <c r="D514" s="189">
        <v>6.46</v>
      </c>
      <c r="E514" s="94">
        <v>2.5</v>
      </c>
      <c r="F514" s="122">
        <f t="shared" si="14"/>
        <v>16.149999999999999</v>
      </c>
    </row>
    <row r="515" spans="1:7">
      <c r="A515" s="184"/>
      <c r="B515" s="162" t="s">
        <v>74</v>
      </c>
      <c r="C515" s="185"/>
      <c r="D515" s="197">
        <v>26.65</v>
      </c>
      <c r="E515" s="94">
        <v>1.2</v>
      </c>
      <c r="F515" s="122">
        <f t="shared" si="14"/>
        <v>31.979999999999997</v>
      </c>
    </row>
    <row r="516" spans="1:7">
      <c r="A516" s="184">
        <v>14</v>
      </c>
      <c r="B516" s="95" t="s">
        <v>134</v>
      </c>
      <c r="C516" s="185" t="s">
        <v>54</v>
      </c>
      <c r="D516" s="88">
        <v>1.23</v>
      </c>
      <c r="E516" s="186">
        <v>40</v>
      </c>
      <c r="F516" s="122">
        <f t="shared" si="14"/>
        <v>49.2</v>
      </c>
    </row>
    <row r="517" spans="1:7">
      <c r="A517" s="184">
        <v>15</v>
      </c>
      <c r="B517" s="191" t="s">
        <v>53</v>
      </c>
      <c r="C517" s="185" t="s">
        <v>54</v>
      </c>
      <c r="D517" s="88">
        <v>1.23</v>
      </c>
      <c r="E517" s="186">
        <v>2.64</v>
      </c>
      <c r="F517" s="122">
        <f t="shared" si="14"/>
        <v>3.2472000000000003</v>
      </c>
    </row>
    <row r="518" spans="1:7">
      <c r="A518" s="184">
        <v>16</v>
      </c>
      <c r="B518" s="95" t="s">
        <v>134</v>
      </c>
      <c r="C518" s="185" t="s">
        <v>232</v>
      </c>
      <c r="D518" s="88">
        <v>1.23</v>
      </c>
      <c r="E518" s="186">
        <f>40*2</f>
        <v>80</v>
      </c>
      <c r="F518" s="122">
        <f t="shared" si="14"/>
        <v>98.4</v>
      </c>
    </row>
    <row r="519" spans="1:7">
      <c r="A519" s="184">
        <v>17</v>
      </c>
      <c r="B519" s="193" t="s">
        <v>252</v>
      </c>
      <c r="C519" s="185" t="s">
        <v>232</v>
      </c>
      <c r="D519" s="104"/>
      <c r="E519" s="186">
        <v>0</v>
      </c>
      <c r="F519" s="122">
        <f t="shared" si="14"/>
        <v>0</v>
      </c>
    </row>
    <row r="520" spans="1:7" ht="13.5" thickBot="1">
      <c r="A520" s="30">
        <v>18</v>
      </c>
      <c r="B520" s="191" t="s">
        <v>250</v>
      </c>
      <c r="C520" s="106" t="s">
        <v>232</v>
      </c>
      <c r="D520" s="208">
        <v>1.23</v>
      </c>
      <c r="E520" s="453">
        <v>47.5</v>
      </c>
      <c r="F520" s="109">
        <f t="shared" si="14"/>
        <v>58.424999999999997</v>
      </c>
    </row>
    <row r="521" spans="1:7">
      <c r="A521" s="454" t="s">
        <v>30</v>
      </c>
      <c r="B521" s="455"/>
      <c r="C521" s="110"/>
      <c r="D521" s="202"/>
      <c r="E521" s="219"/>
      <c r="F521" s="222">
        <f>SUM(F496:F520)</f>
        <v>1273.0183000000004</v>
      </c>
      <c r="G521" s="226">
        <f>F492*F521</f>
        <v>0</v>
      </c>
    </row>
    <row r="522" spans="1:7" ht="13.5" thickBot="1">
      <c r="A522" s="467" t="s">
        <v>31</v>
      </c>
      <c r="B522" s="468"/>
      <c r="C522" s="469"/>
      <c r="D522" s="105"/>
      <c r="E522" s="205">
        <f>E496+E498+E499+E500+E502+E504+E505+E507+E508+E510+E511+E512+E516+E517+E518+E520</f>
        <v>274.36</v>
      </c>
      <c r="F522" s="206"/>
      <c r="G522" s="118" t="s">
        <v>277</v>
      </c>
    </row>
    <row r="523" spans="1:7" ht="13.5" thickBot="1"/>
    <row r="524" spans="1:7" ht="12" customHeight="1">
      <c r="A524" s="456" t="s">
        <v>673</v>
      </c>
      <c r="B524" s="457"/>
      <c r="C524" s="457"/>
      <c r="D524" s="457"/>
      <c r="E524" s="457"/>
      <c r="F524" s="458"/>
    </row>
    <row r="525" spans="1:7" ht="15" customHeight="1">
      <c r="A525" s="459"/>
      <c r="B525" s="460"/>
      <c r="C525" s="460"/>
      <c r="D525" s="460"/>
      <c r="E525" s="460"/>
      <c r="F525" s="461"/>
    </row>
    <row r="526" spans="1:7" ht="15" customHeight="1" thickBot="1">
      <c r="A526" s="462"/>
      <c r="B526" s="463"/>
      <c r="C526" s="463"/>
      <c r="D526" s="463"/>
      <c r="E526" s="463"/>
      <c r="F526" s="464"/>
    </row>
    <row r="527" spans="1:7" ht="13.5" thickBot="1">
      <c r="C527" s="176"/>
      <c r="D527" s="176"/>
      <c r="E527" s="176"/>
      <c r="F527" s="176"/>
    </row>
    <row r="528" spans="1:7" ht="13.5" thickBot="1">
      <c r="B528" s="2" t="s">
        <v>253</v>
      </c>
      <c r="C528" s="2"/>
      <c r="D528" s="470" t="s">
        <v>1</v>
      </c>
      <c r="E528" s="471"/>
      <c r="F528" s="81">
        <v>0</v>
      </c>
    </row>
    <row r="529" spans="1:6" ht="13.5" thickBot="1"/>
    <row r="530" spans="1:6" ht="11.25" customHeight="1">
      <c r="A530" s="472" t="s">
        <v>276</v>
      </c>
      <c r="B530" s="473"/>
      <c r="C530" s="473"/>
      <c r="D530" s="473"/>
      <c r="E530" s="465" t="s">
        <v>2</v>
      </c>
      <c r="F530" s="466"/>
    </row>
    <row r="531" spans="1:6" ht="51.75" thickBot="1">
      <c r="A531" s="372" t="s">
        <v>716</v>
      </c>
      <c r="B531" s="84" t="s">
        <v>3</v>
      </c>
      <c r="C531" s="84" t="s">
        <v>4</v>
      </c>
      <c r="D531" s="84" t="s">
        <v>5</v>
      </c>
      <c r="E531" s="85" t="s">
        <v>6</v>
      </c>
      <c r="F531" s="86" t="s">
        <v>7</v>
      </c>
    </row>
    <row r="532" spans="1:6" ht="13.5" thickTop="1">
      <c r="A532" s="17">
        <v>1</v>
      </c>
      <c r="B532" s="96" t="s">
        <v>12</v>
      </c>
      <c r="C532" s="92" t="s">
        <v>34</v>
      </c>
      <c r="D532" s="88">
        <v>1.23</v>
      </c>
      <c r="E532" s="89">
        <v>20.28</v>
      </c>
      <c r="F532" s="122">
        <f>E532*D532</f>
        <v>24.944400000000002</v>
      </c>
    </row>
    <row r="533" spans="1:6">
      <c r="A533" s="17">
        <v>2</v>
      </c>
      <c r="B533" s="91" t="s">
        <v>13</v>
      </c>
      <c r="C533" s="92" t="s">
        <v>34</v>
      </c>
      <c r="D533" s="88">
        <v>1.23</v>
      </c>
      <c r="E533" s="94">
        <v>3.78</v>
      </c>
      <c r="F533" s="122">
        <f>E533*D533</f>
        <v>4.6494</v>
      </c>
    </row>
    <row r="534" spans="1:6">
      <c r="A534" s="184"/>
      <c r="B534" s="96" t="s">
        <v>16</v>
      </c>
      <c r="C534" s="185"/>
      <c r="D534" s="190">
        <v>1300.45</v>
      </c>
      <c r="E534" s="94">
        <v>0.5</v>
      </c>
      <c r="F534" s="122">
        <f t="shared" ref="F534:F552" si="15">E534*D534</f>
        <v>650.22500000000002</v>
      </c>
    </row>
    <row r="535" spans="1:6">
      <c r="A535" s="17">
        <v>3</v>
      </c>
      <c r="B535" s="54" t="s">
        <v>8</v>
      </c>
      <c r="C535" s="92" t="s">
        <v>34</v>
      </c>
      <c r="D535" s="88">
        <v>1.23</v>
      </c>
      <c r="E535" s="94">
        <v>0.84</v>
      </c>
      <c r="F535" s="122">
        <f t="shared" si="15"/>
        <v>1.0331999999999999</v>
      </c>
    </row>
    <row r="536" spans="1:6">
      <c r="A536" s="17"/>
      <c r="B536" s="91" t="s">
        <v>51</v>
      </c>
      <c r="C536" s="92"/>
      <c r="D536" s="104">
        <v>0.32</v>
      </c>
      <c r="E536" s="94">
        <v>200</v>
      </c>
      <c r="F536" s="122">
        <f t="shared" si="15"/>
        <v>64</v>
      </c>
    </row>
    <row r="537" spans="1:6">
      <c r="A537" s="184">
        <v>4</v>
      </c>
      <c r="B537" s="95" t="s">
        <v>11</v>
      </c>
      <c r="C537" s="185" t="s">
        <v>34</v>
      </c>
      <c r="D537" s="88">
        <v>1.23</v>
      </c>
      <c r="E537" s="186">
        <v>1.1599999999999999</v>
      </c>
      <c r="F537" s="122">
        <f t="shared" si="15"/>
        <v>1.4267999999999998</v>
      </c>
    </row>
    <row r="538" spans="1:6">
      <c r="A538" s="184">
        <v>5</v>
      </c>
      <c r="B538" s="96" t="s">
        <v>160</v>
      </c>
      <c r="C538" s="185" t="s">
        <v>34</v>
      </c>
      <c r="D538" s="88">
        <v>1.23</v>
      </c>
      <c r="E538" s="94">
        <v>0.92</v>
      </c>
      <c r="F538" s="122">
        <f t="shared" si="15"/>
        <v>1.1315999999999999</v>
      </c>
    </row>
    <row r="539" spans="1:6">
      <c r="A539" s="184"/>
      <c r="B539" s="191" t="s">
        <v>197</v>
      </c>
      <c r="C539" s="185"/>
      <c r="D539" s="192">
        <v>8.8800000000000008</v>
      </c>
      <c r="E539" s="94">
        <v>5</v>
      </c>
      <c r="F539" s="122">
        <f t="shared" si="15"/>
        <v>44.400000000000006</v>
      </c>
    </row>
    <row r="540" spans="1:6">
      <c r="A540" s="184">
        <v>6</v>
      </c>
      <c r="B540" s="95" t="s">
        <v>44</v>
      </c>
      <c r="C540" s="185" t="s">
        <v>34</v>
      </c>
      <c r="D540" s="88">
        <v>1.23</v>
      </c>
      <c r="E540" s="94">
        <v>2.16</v>
      </c>
      <c r="F540" s="122">
        <f t="shared" si="15"/>
        <v>2.6568000000000001</v>
      </c>
    </row>
    <row r="541" spans="1:6">
      <c r="A541" s="184">
        <v>7</v>
      </c>
      <c r="B541" s="191" t="s">
        <v>250</v>
      </c>
      <c r="C541" s="185" t="s">
        <v>34</v>
      </c>
      <c r="D541" s="88">
        <v>1.23</v>
      </c>
      <c r="E541" s="94">
        <v>25.48</v>
      </c>
      <c r="F541" s="122">
        <f t="shared" si="15"/>
        <v>31.340399999999999</v>
      </c>
    </row>
    <row r="542" spans="1:6">
      <c r="A542" s="184">
        <v>8</v>
      </c>
      <c r="B542" s="191" t="s">
        <v>251</v>
      </c>
      <c r="C542" s="185" t="s">
        <v>34</v>
      </c>
      <c r="D542" s="189"/>
      <c r="E542" s="94">
        <v>0</v>
      </c>
      <c r="F542" s="122">
        <f t="shared" si="15"/>
        <v>0</v>
      </c>
    </row>
    <row r="543" spans="1:6">
      <c r="A543" s="184">
        <v>9</v>
      </c>
      <c r="B543" s="95" t="s">
        <v>138</v>
      </c>
      <c r="C543" s="185" t="s">
        <v>34</v>
      </c>
      <c r="D543" s="88">
        <v>1.23</v>
      </c>
      <c r="E543" s="94">
        <v>80</v>
      </c>
      <c r="F543" s="122">
        <f t="shared" si="15"/>
        <v>98.4</v>
      </c>
    </row>
    <row r="544" spans="1:6">
      <c r="A544" s="184">
        <v>10</v>
      </c>
      <c r="B544" s="191" t="s">
        <v>77</v>
      </c>
      <c r="C544" s="185" t="s">
        <v>34</v>
      </c>
      <c r="D544" s="88">
        <v>1.23</v>
      </c>
      <c r="E544" s="94">
        <v>2.64</v>
      </c>
      <c r="F544" s="122">
        <f t="shared" si="15"/>
        <v>3.2472000000000003</v>
      </c>
    </row>
    <row r="545" spans="1:7">
      <c r="A545" s="17">
        <v>11</v>
      </c>
      <c r="B545" s="96" t="s">
        <v>72</v>
      </c>
      <c r="C545" s="133" t="s">
        <v>232</v>
      </c>
      <c r="D545" s="88">
        <v>1.23</v>
      </c>
      <c r="E545" s="134">
        <v>4.5999999999999996</v>
      </c>
      <c r="F545" s="122">
        <f t="shared" si="15"/>
        <v>5.6579999999999995</v>
      </c>
    </row>
    <row r="546" spans="1:7">
      <c r="A546" s="17"/>
      <c r="B546" s="96" t="s">
        <v>246</v>
      </c>
      <c r="C546" s="92"/>
      <c r="D546" s="189">
        <v>52.89</v>
      </c>
      <c r="E546" s="94">
        <v>0.45</v>
      </c>
      <c r="F546" s="122">
        <f t="shared" si="15"/>
        <v>23.8005</v>
      </c>
    </row>
    <row r="547" spans="1:7">
      <c r="A547" s="17"/>
      <c r="B547" s="96" t="s">
        <v>210</v>
      </c>
      <c r="C547" s="92"/>
      <c r="D547" s="189">
        <v>6.46</v>
      </c>
      <c r="E547" s="94">
        <v>2.5</v>
      </c>
      <c r="F547" s="122">
        <f t="shared" si="15"/>
        <v>16.149999999999999</v>
      </c>
    </row>
    <row r="548" spans="1:7">
      <c r="A548" s="184"/>
      <c r="B548" s="162" t="s">
        <v>74</v>
      </c>
      <c r="C548" s="185"/>
      <c r="D548" s="197">
        <v>26.65</v>
      </c>
      <c r="E548" s="94">
        <v>1.2</v>
      </c>
      <c r="F548" s="122">
        <f t="shared" si="15"/>
        <v>31.979999999999997</v>
      </c>
    </row>
    <row r="549" spans="1:7">
      <c r="A549" s="184">
        <v>12</v>
      </c>
      <c r="B549" s="191" t="s">
        <v>53</v>
      </c>
      <c r="C549" s="185" t="s">
        <v>96</v>
      </c>
      <c r="D549" s="88">
        <v>1.23</v>
      </c>
      <c r="E549" s="94">
        <v>2.64</v>
      </c>
      <c r="F549" s="122">
        <f t="shared" si="15"/>
        <v>3.2472000000000003</v>
      </c>
    </row>
    <row r="550" spans="1:7">
      <c r="A550" s="184">
        <v>13</v>
      </c>
      <c r="B550" s="95" t="s">
        <v>138</v>
      </c>
      <c r="C550" s="185" t="s">
        <v>254</v>
      </c>
      <c r="D550" s="88">
        <v>1.23</v>
      </c>
      <c r="E550" s="94">
        <f>40*2</f>
        <v>80</v>
      </c>
      <c r="F550" s="122">
        <f t="shared" si="15"/>
        <v>98.4</v>
      </c>
    </row>
    <row r="551" spans="1:7">
      <c r="A551" s="184">
        <v>14</v>
      </c>
      <c r="B551" s="193" t="s">
        <v>252</v>
      </c>
      <c r="C551" s="185" t="s">
        <v>79</v>
      </c>
      <c r="D551" s="104"/>
      <c r="E551" s="94">
        <v>0</v>
      </c>
      <c r="F551" s="122">
        <f t="shared" si="15"/>
        <v>0</v>
      </c>
    </row>
    <row r="552" spans="1:7" ht="13.5" thickBot="1">
      <c r="A552" s="30">
        <v>15</v>
      </c>
      <c r="B552" s="191" t="s">
        <v>250</v>
      </c>
      <c r="C552" s="106" t="s">
        <v>79</v>
      </c>
      <c r="D552" s="208">
        <v>1.23</v>
      </c>
      <c r="E552" s="453">
        <v>47.5</v>
      </c>
      <c r="F552" s="109">
        <f t="shared" si="15"/>
        <v>58.424999999999997</v>
      </c>
    </row>
    <row r="553" spans="1:7">
      <c r="A553" s="454" t="s">
        <v>30</v>
      </c>
      <c r="B553" s="455"/>
      <c r="C553" s="110"/>
      <c r="D553" s="202"/>
      <c r="E553" s="203"/>
      <c r="F553" s="222">
        <f>SUM(F532:F552)</f>
        <v>1165.1154999999999</v>
      </c>
      <c r="G553" s="226">
        <f>F528*F553</f>
        <v>0</v>
      </c>
    </row>
    <row r="554" spans="1:7" ht="13.5" thickBot="1">
      <c r="A554" s="467" t="s">
        <v>31</v>
      </c>
      <c r="B554" s="468"/>
      <c r="C554" s="469"/>
      <c r="D554" s="105"/>
      <c r="E554" s="205">
        <f>E532+E533+E535+E537+E538+E540+E541+E543+E544+E545+E549+E550+E552</f>
        <v>272</v>
      </c>
      <c r="F554" s="206"/>
      <c r="G554" s="118" t="s">
        <v>277</v>
      </c>
    </row>
    <row r="555" spans="1:7" ht="13.5" thickBot="1"/>
    <row r="556" spans="1:7" ht="12" customHeight="1">
      <c r="A556" s="489" t="s">
        <v>674</v>
      </c>
      <c r="B556" s="490"/>
      <c r="C556" s="490"/>
      <c r="D556" s="490"/>
      <c r="E556" s="490"/>
      <c r="F556" s="491"/>
    </row>
    <row r="557" spans="1:7" ht="15" customHeight="1">
      <c r="A557" s="492"/>
      <c r="B557" s="493"/>
      <c r="C557" s="493"/>
      <c r="D557" s="493"/>
      <c r="E557" s="493"/>
      <c r="F557" s="494"/>
    </row>
    <row r="558" spans="1:7" ht="15" customHeight="1" thickBot="1">
      <c r="A558" s="495"/>
      <c r="B558" s="496"/>
      <c r="C558" s="496"/>
      <c r="D558" s="496"/>
      <c r="E558" s="496"/>
      <c r="F558" s="497"/>
    </row>
    <row r="559" spans="1:7" ht="13.5" thickBot="1">
      <c r="C559" s="176"/>
      <c r="D559" s="176"/>
      <c r="E559" s="176"/>
      <c r="F559" s="176"/>
    </row>
    <row r="560" spans="1:7" ht="13.5" thickBot="1">
      <c r="B560" s="2" t="s">
        <v>255</v>
      </c>
      <c r="C560" s="2"/>
      <c r="D560" s="470" t="s">
        <v>1</v>
      </c>
      <c r="E560" s="471"/>
      <c r="F560" s="81">
        <v>0</v>
      </c>
    </row>
    <row r="561" spans="1:6" ht="13.5" thickBot="1">
      <c r="D561" s="233"/>
    </row>
    <row r="562" spans="1:6" ht="11.25" customHeight="1">
      <c r="A562" s="472" t="s">
        <v>276</v>
      </c>
      <c r="B562" s="473"/>
      <c r="C562" s="473"/>
      <c r="D562" s="473"/>
      <c r="E562" s="465" t="s">
        <v>2</v>
      </c>
      <c r="F562" s="466"/>
    </row>
    <row r="563" spans="1:6" ht="51.75" thickBot="1">
      <c r="A563" s="372" t="s">
        <v>716</v>
      </c>
      <c r="B563" s="84" t="s">
        <v>3</v>
      </c>
      <c r="C563" s="84" t="s">
        <v>4</v>
      </c>
      <c r="D563" s="84" t="s">
        <v>5</v>
      </c>
      <c r="E563" s="85" t="s">
        <v>6</v>
      </c>
      <c r="F563" s="86" t="s">
        <v>7</v>
      </c>
    </row>
    <row r="564" spans="1:6" ht="13.5" thickTop="1">
      <c r="A564" s="119">
        <v>1</v>
      </c>
      <c r="B564" s="54" t="s">
        <v>8</v>
      </c>
      <c r="C564" s="87" t="s">
        <v>9</v>
      </c>
      <c r="D564" s="88">
        <v>1.23</v>
      </c>
      <c r="E564" s="89">
        <v>1.2</v>
      </c>
      <c r="F564" s="90">
        <f>E564*D564</f>
        <v>1.476</v>
      </c>
    </row>
    <row r="565" spans="1:6">
      <c r="A565" s="17"/>
      <c r="B565" s="91" t="s">
        <v>10</v>
      </c>
      <c r="C565" s="92"/>
      <c r="D565" s="93">
        <v>0.35</v>
      </c>
      <c r="E565" s="94">
        <v>300</v>
      </c>
      <c r="F565" s="122">
        <f>E565*D565</f>
        <v>105</v>
      </c>
    </row>
    <row r="566" spans="1:6">
      <c r="A566" s="17">
        <v>2</v>
      </c>
      <c r="B566" s="95" t="s">
        <v>11</v>
      </c>
      <c r="C566" s="92" t="s">
        <v>9</v>
      </c>
      <c r="D566" s="88">
        <v>1.23</v>
      </c>
      <c r="E566" s="94">
        <v>1.1599999999999999</v>
      </c>
      <c r="F566" s="122">
        <f>E566*D566</f>
        <v>1.4267999999999998</v>
      </c>
    </row>
    <row r="567" spans="1:6">
      <c r="A567" s="17">
        <v>3</v>
      </c>
      <c r="B567" s="96" t="s">
        <v>12</v>
      </c>
      <c r="C567" s="92" t="s">
        <v>9</v>
      </c>
      <c r="D567" s="88">
        <v>1.23</v>
      </c>
      <c r="E567" s="94">
        <v>20.28</v>
      </c>
      <c r="F567" s="122">
        <f t="shared" ref="F567:F583" si="16">E567*D567</f>
        <v>24.944400000000002</v>
      </c>
    </row>
    <row r="568" spans="1:6">
      <c r="A568" s="17">
        <v>4</v>
      </c>
      <c r="B568" s="91" t="s">
        <v>13</v>
      </c>
      <c r="C568" s="92" t="s">
        <v>9</v>
      </c>
      <c r="D568" s="88">
        <v>1.23</v>
      </c>
      <c r="E568" s="94">
        <v>3.78</v>
      </c>
      <c r="F568" s="122">
        <f t="shared" si="16"/>
        <v>4.6494</v>
      </c>
    </row>
    <row r="569" spans="1:6">
      <c r="A569" s="17"/>
      <c r="B569" s="91" t="s">
        <v>16</v>
      </c>
      <c r="C569" s="92" t="s">
        <v>18</v>
      </c>
      <c r="D569" s="346">
        <v>1000</v>
      </c>
      <c r="E569" s="94">
        <v>0.8</v>
      </c>
      <c r="F569" s="122">
        <f t="shared" si="16"/>
        <v>800</v>
      </c>
    </row>
    <row r="570" spans="1:6">
      <c r="A570" s="17">
        <v>5</v>
      </c>
      <c r="B570" s="54" t="s">
        <v>8</v>
      </c>
      <c r="C570" s="92" t="s">
        <v>70</v>
      </c>
      <c r="D570" s="88">
        <v>1.23</v>
      </c>
      <c r="E570" s="94">
        <v>0.84</v>
      </c>
      <c r="F570" s="122">
        <f t="shared" si="16"/>
        <v>1.0331999999999999</v>
      </c>
    </row>
    <row r="571" spans="1:6">
      <c r="A571" s="17"/>
      <c r="B571" s="91" t="s">
        <v>51</v>
      </c>
      <c r="C571" s="92"/>
      <c r="D571" s="104">
        <v>0.32</v>
      </c>
      <c r="E571" s="94">
        <v>200</v>
      </c>
      <c r="F571" s="122">
        <f t="shared" si="16"/>
        <v>64</v>
      </c>
    </row>
    <row r="572" spans="1:6">
      <c r="A572" s="17">
        <v>6</v>
      </c>
      <c r="B572" s="95" t="s">
        <v>11</v>
      </c>
      <c r="C572" s="92" t="s">
        <v>70</v>
      </c>
      <c r="D572" s="88">
        <v>1.23</v>
      </c>
      <c r="E572" s="94">
        <v>1.1599999999999999</v>
      </c>
      <c r="F572" s="122">
        <f t="shared" si="16"/>
        <v>1.4267999999999998</v>
      </c>
    </row>
    <row r="573" spans="1:6">
      <c r="A573" s="17">
        <v>7</v>
      </c>
      <c r="B573" s="96" t="s">
        <v>22</v>
      </c>
      <c r="C573" s="92" t="s">
        <v>70</v>
      </c>
      <c r="D573" s="88">
        <v>1.23</v>
      </c>
      <c r="E573" s="94">
        <v>0.92</v>
      </c>
      <c r="F573" s="122">
        <f t="shared" si="16"/>
        <v>1.1315999999999999</v>
      </c>
    </row>
    <row r="574" spans="1:6">
      <c r="A574" s="17"/>
      <c r="B574" s="91" t="s">
        <v>64</v>
      </c>
      <c r="C574" s="92"/>
      <c r="D574" s="197">
        <v>26.65</v>
      </c>
      <c r="E574" s="94">
        <v>1.2</v>
      </c>
      <c r="F574" s="122">
        <f t="shared" si="16"/>
        <v>31.979999999999997</v>
      </c>
    </row>
    <row r="575" spans="1:6">
      <c r="A575" s="17">
        <v>8</v>
      </c>
      <c r="B575" s="91" t="s">
        <v>14</v>
      </c>
      <c r="C575" s="92" t="s">
        <v>70</v>
      </c>
      <c r="D575" s="88">
        <v>1.23</v>
      </c>
      <c r="E575" s="94">
        <v>2.2799999999999998</v>
      </c>
      <c r="F575" s="122">
        <f t="shared" si="16"/>
        <v>2.8043999999999998</v>
      </c>
    </row>
    <row r="576" spans="1:6">
      <c r="A576" s="17">
        <v>9</v>
      </c>
      <c r="B576" s="91" t="s">
        <v>256</v>
      </c>
      <c r="C576" s="92" t="s">
        <v>70</v>
      </c>
      <c r="D576" s="88">
        <v>1.23</v>
      </c>
      <c r="E576" s="94">
        <v>2.96</v>
      </c>
      <c r="F576" s="122">
        <f t="shared" si="16"/>
        <v>3.6408</v>
      </c>
    </row>
    <row r="577" spans="1:7">
      <c r="A577" s="184">
        <v>10</v>
      </c>
      <c r="B577" s="95" t="s">
        <v>138</v>
      </c>
      <c r="C577" s="185" t="s">
        <v>257</v>
      </c>
      <c r="D577" s="88">
        <v>1.23</v>
      </c>
      <c r="E577" s="186">
        <f>40*2</f>
        <v>80</v>
      </c>
      <c r="F577" s="122">
        <f t="shared" si="16"/>
        <v>98.4</v>
      </c>
    </row>
    <row r="578" spans="1:7">
      <c r="A578" s="184">
        <v>11</v>
      </c>
      <c r="B578" s="191" t="s">
        <v>258</v>
      </c>
      <c r="C578" s="185" t="s">
        <v>45</v>
      </c>
      <c r="D578" s="88">
        <v>1.23</v>
      </c>
      <c r="E578" s="186">
        <v>2.64</v>
      </c>
      <c r="F578" s="122">
        <f t="shared" si="16"/>
        <v>3.2472000000000003</v>
      </c>
    </row>
    <row r="579" spans="1:7">
      <c r="A579" s="17">
        <v>12</v>
      </c>
      <c r="B579" s="96" t="s">
        <v>48</v>
      </c>
      <c r="C579" s="92" t="s">
        <v>189</v>
      </c>
      <c r="D579" s="88">
        <v>1.23</v>
      </c>
      <c r="E579" s="94">
        <f>0.92*2</f>
        <v>1.84</v>
      </c>
      <c r="F579" s="122">
        <f t="shared" si="16"/>
        <v>2.2631999999999999</v>
      </c>
    </row>
    <row r="580" spans="1:7">
      <c r="A580" s="17"/>
      <c r="B580" s="91" t="s">
        <v>259</v>
      </c>
      <c r="C580" s="92"/>
      <c r="D580" s="104">
        <v>6.46</v>
      </c>
      <c r="E580" s="94">
        <v>2.5</v>
      </c>
      <c r="F580" s="122">
        <f t="shared" si="16"/>
        <v>16.149999999999999</v>
      </c>
    </row>
    <row r="581" spans="1:7">
      <c r="A581" s="17"/>
      <c r="B581" s="234" t="s">
        <v>260</v>
      </c>
      <c r="C581" s="235"/>
      <c r="D581" s="174">
        <v>103.35</v>
      </c>
      <c r="E581" s="94">
        <v>1</v>
      </c>
      <c r="F581" s="122">
        <f t="shared" si="16"/>
        <v>103.35</v>
      </c>
    </row>
    <row r="582" spans="1:7">
      <c r="A582" s="17">
        <v>13</v>
      </c>
      <c r="B582" s="96" t="s">
        <v>261</v>
      </c>
      <c r="C582" s="92" t="s">
        <v>125</v>
      </c>
      <c r="D582" s="104"/>
      <c r="E582" s="94">
        <v>0</v>
      </c>
      <c r="F582" s="122">
        <f t="shared" si="16"/>
        <v>0</v>
      </c>
    </row>
    <row r="583" spans="1:7" ht="13.5" thickBot="1">
      <c r="A583" s="30">
        <v>14</v>
      </c>
      <c r="B583" s="105" t="s">
        <v>262</v>
      </c>
      <c r="C583" s="106" t="s">
        <v>125</v>
      </c>
      <c r="D583" s="208">
        <v>1.23</v>
      </c>
      <c r="E583" s="108">
        <v>40</v>
      </c>
      <c r="F583" s="109">
        <f t="shared" si="16"/>
        <v>49.2</v>
      </c>
    </row>
    <row r="584" spans="1:7">
      <c r="A584" s="454" t="s">
        <v>30</v>
      </c>
      <c r="B584" s="455"/>
      <c r="C584" s="110"/>
      <c r="D584" s="202"/>
      <c r="E584" s="236"/>
      <c r="F584" s="237">
        <f>SUM(F564:F583)</f>
        <v>1316.1238000000001</v>
      </c>
      <c r="G584" s="212">
        <f>F560*F584</f>
        <v>0</v>
      </c>
    </row>
    <row r="585" spans="1:7" ht="13.5" thickBot="1">
      <c r="A585" s="467" t="s">
        <v>31</v>
      </c>
      <c r="B585" s="468"/>
      <c r="C585" s="469"/>
      <c r="D585" s="105"/>
      <c r="E585" s="115">
        <f>E564+E566+E567+E568+E570+E572+E573+E575+E576+E577+E578+E579+E583</f>
        <v>159.06</v>
      </c>
      <c r="F585" s="238"/>
      <c r="G585" s="118" t="s">
        <v>277</v>
      </c>
    </row>
    <row r="586" spans="1:7" ht="13.5" thickBot="1"/>
    <row r="587" spans="1:7" ht="12" customHeight="1">
      <c r="A587" s="456" t="s">
        <v>675</v>
      </c>
      <c r="B587" s="457"/>
      <c r="C587" s="457"/>
      <c r="D587" s="457"/>
      <c r="E587" s="457"/>
      <c r="F587" s="458"/>
    </row>
    <row r="588" spans="1:7" ht="15" customHeight="1">
      <c r="A588" s="459"/>
      <c r="B588" s="460"/>
      <c r="C588" s="460"/>
      <c r="D588" s="460"/>
      <c r="E588" s="460"/>
      <c r="F588" s="461"/>
    </row>
    <row r="589" spans="1:7" ht="15" customHeight="1" thickBot="1">
      <c r="A589" s="462"/>
      <c r="B589" s="463"/>
      <c r="C589" s="463"/>
      <c r="D589" s="463"/>
      <c r="E589" s="463"/>
      <c r="F589" s="464"/>
    </row>
    <row r="590" spans="1:7" ht="13.5" thickBot="1"/>
    <row r="591" spans="1:7" ht="13.5" thickBot="1">
      <c r="B591" s="2" t="s">
        <v>263</v>
      </c>
      <c r="C591" s="2"/>
      <c r="D591" s="470" t="s">
        <v>1</v>
      </c>
      <c r="E591" s="471"/>
      <c r="F591" s="81">
        <v>0</v>
      </c>
    </row>
    <row r="592" spans="1:7" ht="13.5" thickBot="1"/>
    <row r="593" spans="1:6" ht="11.25" customHeight="1">
      <c r="A593" s="472" t="s">
        <v>276</v>
      </c>
      <c r="B593" s="473"/>
      <c r="C593" s="473"/>
      <c r="D593" s="473"/>
      <c r="E593" s="465" t="s">
        <v>2</v>
      </c>
      <c r="F593" s="466"/>
    </row>
    <row r="594" spans="1:6" ht="51.75" thickBot="1">
      <c r="A594" s="372" t="s">
        <v>716</v>
      </c>
      <c r="B594" s="84" t="s">
        <v>3</v>
      </c>
      <c r="C594" s="84" t="s">
        <v>4</v>
      </c>
      <c r="D594" s="84" t="s">
        <v>5</v>
      </c>
      <c r="E594" s="85" t="s">
        <v>6</v>
      </c>
      <c r="F594" s="86" t="s">
        <v>7</v>
      </c>
    </row>
    <row r="595" spans="1:6" ht="13.5" thickTop="1">
      <c r="A595" s="184">
        <v>1</v>
      </c>
      <c r="B595" s="135" t="s">
        <v>183</v>
      </c>
      <c r="C595" s="185" t="s">
        <v>34</v>
      </c>
      <c r="D595" s="88">
        <v>1.23</v>
      </c>
      <c r="E595" s="186">
        <v>17.579999999999998</v>
      </c>
      <c r="F595" s="187">
        <f>(E595*D595)</f>
        <v>21.623399999999997</v>
      </c>
    </row>
    <row r="596" spans="1:6">
      <c r="A596" s="184">
        <v>2</v>
      </c>
      <c r="B596" s="54" t="s">
        <v>39</v>
      </c>
      <c r="C596" s="185" t="s">
        <v>96</v>
      </c>
      <c r="D596" s="88">
        <v>1.23</v>
      </c>
      <c r="E596" s="186">
        <v>15.08</v>
      </c>
      <c r="F596" s="187">
        <f>(E596*D596)</f>
        <v>18.548400000000001</v>
      </c>
    </row>
    <row r="597" spans="1:6">
      <c r="A597" s="184">
        <v>3</v>
      </c>
      <c r="B597" s="96" t="s">
        <v>40</v>
      </c>
      <c r="C597" s="185" t="s">
        <v>96</v>
      </c>
      <c r="D597" s="88">
        <v>1.23</v>
      </c>
      <c r="E597" s="186">
        <v>90</v>
      </c>
      <c r="F597" s="187">
        <f t="shared" ref="F597:F618" si="17">(E597*D597)</f>
        <v>110.7</v>
      </c>
    </row>
    <row r="598" spans="1:6">
      <c r="A598" s="184">
        <v>4</v>
      </c>
      <c r="B598" s="96" t="s">
        <v>12</v>
      </c>
      <c r="C598" s="185" t="s">
        <v>96</v>
      </c>
      <c r="D598" s="88">
        <v>1.23</v>
      </c>
      <c r="E598" s="186">
        <v>21.66</v>
      </c>
      <c r="F598" s="187">
        <f t="shared" si="17"/>
        <v>26.6418</v>
      </c>
    </row>
    <row r="599" spans="1:6">
      <c r="A599" s="184">
        <v>5</v>
      </c>
      <c r="B599" s="54" t="s">
        <v>8</v>
      </c>
      <c r="C599" s="185" t="s">
        <v>43</v>
      </c>
      <c r="D599" s="88">
        <v>1.23</v>
      </c>
      <c r="E599" s="186">
        <v>2.16</v>
      </c>
      <c r="F599" s="187">
        <f t="shared" si="17"/>
        <v>2.6568000000000001</v>
      </c>
    </row>
    <row r="600" spans="1:6">
      <c r="A600" s="184"/>
      <c r="B600" s="91" t="s">
        <v>69</v>
      </c>
      <c r="C600" s="185"/>
      <c r="D600" s="93">
        <v>0.34</v>
      </c>
      <c r="E600" s="186">
        <v>500</v>
      </c>
      <c r="F600" s="187">
        <f t="shared" si="17"/>
        <v>170</v>
      </c>
    </row>
    <row r="601" spans="1:6">
      <c r="A601" s="184">
        <v>6</v>
      </c>
      <c r="B601" s="95" t="s">
        <v>11</v>
      </c>
      <c r="C601" s="185" t="s">
        <v>43</v>
      </c>
      <c r="D601" s="88">
        <v>1.23</v>
      </c>
      <c r="E601" s="186">
        <v>1.1599999999999999</v>
      </c>
      <c r="F601" s="187">
        <f t="shared" si="17"/>
        <v>1.4267999999999998</v>
      </c>
    </row>
    <row r="602" spans="1:6">
      <c r="A602" s="184">
        <v>7</v>
      </c>
      <c r="B602" s="96" t="s">
        <v>12</v>
      </c>
      <c r="C602" s="185" t="s">
        <v>43</v>
      </c>
      <c r="D602" s="88">
        <v>1.23</v>
      </c>
      <c r="E602" s="186">
        <v>21.66</v>
      </c>
      <c r="F602" s="187">
        <f t="shared" si="17"/>
        <v>26.6418</v>
      </c>
    </row>
    <row r="603" spans="1:6">
      <c r="A603" s="184">
        <v>8</v>
      </c>
      <c r="B603" s="54" t="s">
        <v>8</v>
      </c>
      <c r="C603" s="185" t="s">
        <v>70</v>
      </c>
      <c r="D603" s="88">
        <v>1.23</v>
      </c>
      <c r="E603" s="186">
        <v>1.38</v>
      </c>
      <c r="F603" s="187">
        <f t="shared" si="17"/>
        <v>1.6973999999999998</v>
      </c>
    </row>
    <row r="604" spans="1:6">
      <c r="A604" s="184"/>
      <c r="B604" s="91" t="s">
        <v>19</v>
      </c>
      <c r="C604" s="185"/>
      <c r="D604" s="97">
        <v>0.26</v>
      </c>
      <c r="E604" s="186">
        <v>300</v>
      </c>
      <c r="F604" s="187">
        <f t="shared" si="17"/>
        <v>78</v>
      </c>
    </row>
    <row r="605" spans="1:6">
      <c r="A605" s="184">
        <v>9</v>
      </c>
      <c r="B605" s="95" t="s">
        <v>11</v>
      </c>
      <c r="C605" s="185" t="s">
        <v>70</v>
      </c>
      <c r="D605" s="88">
        <v>1.23</v>
      </c>
      <c r="E605" s="186">
        <v>1.1599999999999999</v>
      </c>
      <c r="F605" s="187">
        <f t="shared" si="17"/>
        <v>1.4267999999999998</v>
      </c>
    </row>
    <row r="606" spans="1:6">
      <c r="A606" s="184">
        <v>10</v>
      </c>
      <c r="B606" s="96" t="s">
        <v>83</v>
      </c>
      <c r="C606" s="185" t="s">
        <v>70</v>
      </c>
      <c r="D606" s="88">
        <v>1.23</v>
      </c>
      <c r="E606" s="186">
        <v>0.92</v>
      </c>
      <c r="F606" s="187">
        <f t="shared" si="17"/>
        <v>1.1315999999999999</v>
      </c>
    </row>
    <row r="607" spans="1:6">
      <c r="A607" s="184"/>
      <c r="B607" s="191" t="s">
        <v>84</v>
      </c>
      <c r="C607" s="185"/>
      <c r="D607" s="239">
        <v>14.61</v>
      </c>
      <c r="E607" s="186">
        <v>2</v>
      </c>
      <c r="F607" s="187">
        <f t="shared" si="17"/>
        <v>29.22</v>
      </c>
    </row>
    <row r="608" spans="1:6">
      <c r="A608" s="184">
        <v>11</v>
      </c>
      <c r="B608" s="95" t="s">
        <v>44</v>
      </c>
      <c r="C608" s="185" t="s">
        <v>70</v>
      </c>
      <c r="D608" s="88">
        <v>1.23</v>
      </c>
      <c r="E608" s="186">
        <v>2.16</v>
      </c>
      <c r="F608" s="187">
        <f t="shared" si="17"/>
        <v>2.6568000000000001</v>
      </c>
    </row>
    <row r="609" spans="1:7">
      <c r="A609" s="184"/>
      <c r="B609" s="191" t="s">
        <v>16</v>
      </c>
      <c r="C609" s="185"/>
      <c r="D609" s="188">
        <v>89.7</v>
      </c>
      <c r="E609" s="186">
        <v>3.3</v>
      </c>
      <c r="F609" s="187">
        <f t="shared" si="17"/>
        <v>296.01</v>
      </c>
    </row>
    <row r="610" spans="1:7">
      <c r="A610" s="17">
        <v>12</v>
      </c>
      <c r="B610" s="91" t="s">
        <v>17</v>
      </c>
      <c r="C610" s="133" t="s">
        <v>70</v>
      </c>
      <c r="D610" s="88">
        <v>1.23</v>
      </c>
      <c r="E610" s="209">
        <v>3.15</v>
      </c>
      <c r="F610" s="187">
        <f t="shared" si="17"/>
        <v>3.8744999999999998</v>
      </c>
    </row>
    <row r="611" spans="1:7">
      <c r="A611" s="184">
        <v>13</v>
      </c>
      <c r="B611" s="191" t="s">
        <v>77</v>
      </c>
      <c r="C611" s="185" t="s">
        <v>21</v>
      </c>
      <c r="D611" s="88">
        <v>1.23</v>
      </c>
      <c r="E611" s="186">
        <v>2.64</v>
      </c>
      <c r="F611" s="187">
        <f t="shared" si="17"/>
        <v>3.2472000000000003</v>
      </c>
    </row>
    <row r="612" spans="1:7">
      <c r="A612" s="184">
        <v>14</v>
      </c>
      <c r="B612" s="96" t="s">
        <v>48</v>
      </c>
      <c r="C612" s="185" t="s">
        <v>21</v>
      </c>
      <c r="D612" s="88">
        <v>1.23</v>
      </c>
      <c r="E612" s="186">
        <v>1.84</v>
      </c>
      <c r="F612" s="187">
        <f t="shared" si="17"/>
        <v>2.2631999999999999</v>
      </c>
    </row>
    <row r="613" spans="1:7">
      <c r="A613" s="184"/>
      <c r="B613" s="191" t="s">
        <v>74</v>
      </c>
      <c r="C613" s="185"/>
      <c r="D613" s="197">
        <v>26.65</v>
      </c>
      <c r="E613" s="186">
        <v>1.2</v>
      </c>
      <c r="F613" s="187">
        <f t="shared" si="17"/>
        <v>31.979999999999997</v>
      </c>
    </row>
    <row r="614" spans="1:7">
      <c r="A614" s="184"/>
      <c r="B614" s="191" t="s">
        <v>211</v>
      </c>
      <c r="C614" s="185"/>
      <c r="D614" s="239">
        <v>52.89</v>
      </c>
      <c r="E614" s="186">
        <v>0.5</v>
      </c>
      <c r="F614" s="187">
        <f t="shared" si="17"/>
        <v>26.445</v>
      </c>
    </row>
    <row r="615" spans="1:7">
      <c r="A615" s="184">
        <v>15</v>
      </c>
      <c r="B615" s="95" t="s">
        <v>134</v>
      </c>
      <c r="C615" s="185" t="s">
        <v>21</v>
      </c>
      <c r="D615" s="88">
        <v>1.23</v>
      </c>
      <c r="E615" s="186">
        <v>40</v>
      </c>
      <c r="F615" s="187">
        <f t="shared" si="17"/>
        <v>49.2</v>
      </c>
    </row>
    <row r="616" spans="1:7">
      <c r="A616" s="184">
        <v>16</v>
      </c>
      <c r="B616" s="191" t="s">
        <v>53</v>
      </c>
      <c r="C616" s="185" t="s">
        <v>54</v>
      </c>
      <c r="D616" s="88">
        <v>1.23</v>
      </c>
      <c r="E616" s="186">
        <v>2.64</v>
      </c>
      <c r="F616" s="187">
        <f t="shared" si="17"/>
        <v>3.2472000000000003</v>
      </c>
    </row>
    <row r="617" spans="1:7">
      <c r="A617" s="184">
        <v>17</v>
      </c>
      <c r="B617" s="193" t="s">
        <v>264</v>
      </c>
      <c r="C617" s="185" t="s">
        <v>9</v>
      </c>
      <c r="D617" s="104">
        <v>1.23</v>
      </c>
      <c r="E617" s="274">
        <v>11.6</v>
      </c>
      <c r="F617" s="187">
        <f t="shared" si="17"/>
        <v>14.267999999999999</v>
      </c>
    </row>
    <row r="618" spans="1:7" ht="13.5" thickBot="1">
      <c r="A618" s="30">
        <v>18</v>
      </c>
      <c r="B618" s="105" t="s">
        <v>265</v>
      </c>
      <c r="C618" s="106" t="s">
        <v>9</v>
      </c>
      <c r="D618" s="208">
        <v>1.23</v>
      </c>
      <c r="E618" s="453">
        <v>37.5</v>
      </c>
      <c r="F618" s="109">
        <f t="shared" si="17"/>
        <v>46.125</v>
      </c>
    </row>
    <row r="619" spans="1:7">
      <c r="A619" s="454" t="s">
        <v>30</v>
      </c>
      <c r="B619" s="455"/>
      <c r="C619" s="110"/>
      <c r="D619" s="202"/>
      <c r="E619" s="203"/>
      <c r="F619" s="222">
        <f>SUM(F595:F618)</f>
        <v>969.03170000000011</v>
      </c>
      <c r="G619" s="226">
        <f>F591*F619</f>
        <v>0</v>
      </c>
    </row>
    <row r="620" spans="1:7" ht="13.5" thickBot="1">
      <c r="A620" s="467" t="s">
        <v>31</v>
      </c>
      <c r="B620" s="468"/>
      <c r="C620" s="469"/>
      <c r="D620" s="105"/>
      <c r="E620" s="205">
        <f>E595+E596+E597+E598+E599+E601+E602+E603+E605+E606+E608+E610+E611+E612+E615+E616+E618</f>
        <v>262.68999999999994</v>
      </c>
      <c r="F620" s="206"/>
      <c r="G620" s="118" t="s">
        <v>277</v>
      </c>
    </row>
    <row r="621" spans="1:7" ht="13.5" thickBot="1"/>
    <row r="622" spans="1:7" ht="12" customHeight="1">
      <c r="A622" s="489" t="s">
        <v>676</v>
      </c>
      <c r="B622" s="490"/>
      <c r="C622" s="490"/>
      <c r="D622" s="490"/>
      <c r="E622" s="490"/>
      <c r="F622" s="491"/>
    </row>
    <row r="623" spans="1:7" ht="15" customHeight="1">
      <c r="A623" s="492"/>
      <c r="B623" s="493"/>
      <c r="C623" s="493"/>
      <c r="D623" s="493"/>
      <c r="E623" s="493"/>
      <c r="F623" s="494"/>
    </row>
    <row r="624" spans="1:7" ht="15" customHeight="1" thickBot="1">
      <c r="A624" s="495"/>
      <c r="B624" s="496"/>
      <c r="C624" s="496"/>
      <c r="D624" s="496"/>
      <c r="E624" s="496"/>
      <c r="F624" s="497"/>
    </row>
    <row r="625" spans="1:6" ht="13.5" thickBot="1"/>
    <row r="626" spans="1:6" ht="13.5" thickBot="1">
      <c r="B626" s="2" t="s">
        <v>266</v>
      </c>
      <c r="C626" s="2"/>
      <c r="D626" s="470" t="s">
        <v>1</v>
      </c>
      <c r="E626" s="471"/>
      <c r="F626" s="81">
        <v>0</v>
      </c>
    </row>
    <row r="627" spans="1:6" ht="13.5" thickBot="1"/>
    <row r="628" spans="1:6" ht="11.25" customHeight="1">
      <c r="A628" s="472" t="s">
        <v>276</v>
      </c>
      <c r="B628" s="473"/>
      <c r="C628" s="473"/>
      <c r="D628" s="473"/>
      <c r="E628" s="465" t="s">
        <v>2</v>
      </c>
      <c r="F628" s="466"/>
    </row>
    <row r="629" spans="1:6" ht="51.75" thickBot="1">
      <c r="A629" s="372" t="s">
        <v>716</v>
      </c>
      <c r="B629" s="84" t="s">
        <v>3</v>
      </c>
      <c r="C629" s="84" t="s">
        <v>4</v>
      </c>
      <c r="D629" s="84" t="s">
        <v>5</v>
      </c>
      <c r="E629" s="85" t="s">
        <v>6</v>
      </c>
      <c r="F629" s="86" t="s">
        <v>7</v>
      </c>
    </row>
    <row r="630" spans="1:6" ht="13.5" thickTop="1">
      <c r="A630" s="184">
        <v>1</v>
      </c>
      <c r="B630" s="135" t="s">
        <v>183</v>
      </c>
      <c r="C630" s="185" t="s">
        <v>34</v>
      </c>
      <c r="D630" s="88">
        <v>1.23</v>
      </c>
      <c r="E630" s="186">
        <v>17.579999999999998</v>
      </c>
      <c r="F630" s="187">
        <f>(E630*D630)</f>
        <v>21.623399999999997</v>
      </c>
    </row>
    <row r="631" spans="1:6">
      <c r="A631" s="184">
        <v>2</v>
      </c>
      <c r="B631" s="54" t="s">
        <v>39</v>
      </c>
      <c r="C631" s="185" t="s">
        <v>96</v>
      </c>
      <c r="D631" s="88">
        <v>1.23</v>
      </c>
      <c r="E631" s="186">
        <v>15.08</v>
      </c>
      <c r="F631" s="187">
        <f>(E631*D631)</f>
        <v>18.548400000000001</v>
      </c>
    </row>
    <row r="632" spans="1:6">
      <c r="A632" s="184">
        <v>3</v>
      </c>
      <c r="B632" s="96" t="s">
        <v>40</v>
      </c>
      <c r="C632" s="185" t="s">
        <v>96</v>
      </c>
      <c r="D632" s="88">
        <v>1.23</v>
      </c>
      <c r="E632" s="186">
        <v>90</v>
      </c>
      <c r="F632" s="187">
        <f t="shared" ref="F632:F653" si="18">(E632*D632)</f>
        <v>110.7</v>
      </c>
    </row>
    <row r="633" spans="1:6">
      <c r="A633" s="184">
        <v>4</v>
      </c>
      <c r="B633" s="96" t="s">
        <v>12</v>
      </c>
      <c r="C633" s="185" t="s">
        <v>96</v>
      </c>
      <c r="D633" s="88">
        <v>1.23</v>
      </c>
      <c r="E633" s="186">
        <v>21.66</v>
      </c>
      <c r="F633" s="187">
        <f t="shared" si="18"/>
        <v>26.6418</v>
      </c>
    </row>
    <row r="634" spans="1:6">
      <c r="A634" s="184">
        <v>5</v>
      </c>
      <c r="B634" s="54" t="s">
        <v>8</v>
      </c>
      <c r="C634" s="185" t="s">
        <v>43</v>
      </c>
      <c r="D634" s="88">
        <v>1.23</v>
      </c>
      <c r="E634" s="186">
        <v>2.16</v>
      </c>
      <c r="F634" s="187">
        <f t="shared" si="18"/>
        <v>2.6568000000000001</v>
      </c>
    </row>
    <row r="635" spans="1:6">
      <c r="A635" s="184"/>
      <c r="B635" s="91" t="s">
        <v>69</v>
      </c>
      <c r="C635" s="185"/>
      <c r="D635" s="93">
        <v>0.34</v>
      </c>
      <c r="E635" s="186">
        <v>500</v>
      </c>
      <c r="F635" s="187">
        <f t="shared" si="18"/>
        <v>170</v>
      </c>
    </row>
    <row r="636" spans="1:6">
      <c r="A636" s="184">
        <v>6</v>
      </c>
      <c r="B636" s="95" t="s">
        <v>11</v>
      </c>
      <c r="C636" s="185" t="s">
        <v>43</v>
      </c>
      <c r="D636" s="88">
        <v>1.23</v>
      </c>
      <c r="E636" s="186">
        <v>1.1599999999999999</v>
      </c>
      <c r="F636" s="187">
        <f t="shared" si="18"/>
        <v>1.4267999999999998</v>
      </c>
    </row>
    <row r="637" spans="1:6">
      <c r="A637" s="184">
        <v>7</v>
      </c>
      <c r="B637" s="96" t="s">
        <v>12</v>
      </c>
      <c r="C637" s="185" t="s">
        <v>43</v>
      </c>
      <c r="D637" s="88">
        <v>1.23</v>
      </c>
      <c r="E637" s="186">
        <v>21.66</v>
      </c>
      <c r="F637" s="187">
        <f t="shared" si="18"/>
        <v>26.6418</v>
      </c>
    </row>
    <row r="638" spans="1:6">
      <c r="A638" s="184">
        <v>8</v>
      </c>
      <c r="B638" s="54" t="s">
        <v>8</v>
      </c>
      <c r="C638" s="185" t="s">
        <v>70</v>
      </c>
      <c r="D638" s="88">
        <v>1.23</v>
      </c>
      <c r="E638" s="186">
        <v>1.38</v>
      </c>
      <c r="F638" s="187">
        <f t="shared" si="18"/>
        <v>1.6973999999999998</v>
      </c>
    </row>
    <row r="639" spans="1:6">
      <c r="A639" s="184"/>
      <c r="B639" s="91" t="s">
        <v>19</v>
      </c>
      <c r="C639" s="185"/>
      <c r="D639" s="97">
        <v>0.26</v>
      </c>
      <c r="E639" s="186">
        <v>300</v>
      </c>
      <c r="F639" s="187">
        <f t="shared" si="18"/>
        <v>78</v>
      </c>
    </row>
    <row r="640" spans="1:6">
      <c r="A640" s="184">
        <v>9</v>
      </c>
      <c r="B640" s="95" t="s">
        <v>11</v>
      </c>
      <c r="C640" s="185" t="s">
        <v>70</v>
      </c>
      <c r="D640" s="88">
        <v>1.23</v>
      </c>
      <c r="E640" s="186">
        <v>1.1599999999999999</v>
      </c>
      <c r="F640" s="187">
        <f t="shared" si="18"/>
        <v>1.4267999999999998</v>
      </c>
    </row>
    <row r="641" spans="1:7">
      <c r="A641" s="184">
        <v>10</v>
      </c>
      <c r="B641" s="96" t="s">
        <v>83</v>
      </c>
      <c r="C641" s="185" t="s">
        <v>70</v>
      </c>
      <c r="D641" s="88">
        <v>1.23</v>
      </c>
      <c r="E641" s="186">
        <v>0.92</v>
      </c>
      <c r="F641" s="187">
        <f t="shared" si="18"/>
        <v>1.1315999999999999</v>
      </c>
    </row>
    <row r="642" spans="1:7">
      <c r="A642" s="184"/>
      <c r="B642" s="191" t="s">
        <v>84</v>
      </c>
      <c r="C642" s="185"/>
      <c r="D642" s="239">
        <v>14.61</v>
      </c>
      <c r="E642" s="186">
        <v>2</v>
      </c>
      <c r="F642" s="187">
        <f t="shared" si="18"/>
        <v>29.22</v>
      </c>
    </row>
    <row r="643" spans="1:7">
      <c r="A643" s="184">
        <v>11</v>
      </c>
      <c r="B643" s="95" t="s">
        <v>44</v>
      </c>
      <c r="C643" s="185" t="s">
        <v>70</v>
      </c>
      <c r="D643" s="88">
        <v>1.23</v>
      </c>
      <c r="E643" s="186">
        <v>2.16</v>
      </c>
      <c r="F643" s="187">
        <f t="shared" si="18"/>
        <v>2.6568000000000001</v>
      </c>
    </row>
    <row r="644" spans="1:7">
      <c r="A644" s="184"/>
      <c r="B644" s="191" t="s">
        <v>16</v>
      </c>
      <c r="C644" s="185"/>
      <c r="D644" s="188">
        <v>66.239999999999995</v>
      </c>
      <c r="E644" s="186">
        <v>2</v>
      </c>
      <c r="F644" s="187">
        <f t="shared" si="18"/>
        <v>132.47999999999999</v>
      </c>
    </row>
    <row r="645" spans="1:7">
      <c r="A645" s="17">
        <v>12</v>
      </c>
      <c r="B645" s="91" t="s">
        <v>17</v>
      </c>
      <c r="C645" s="133" t="s">
        <v>70</v>
      </c>
      <c r="D645" s="88">
        <v>1.23</v>
      </c>
      <c r="E645" s="209">
        <v>3.15</v>
      </c>
      <c r="F645" s="187">
        <f t="shared" si="18"/>
        <v>3.8744999999999998</v>
      </c>
    </row>
    <row r="646" spans="1:7">
      <c r="A646" s="184">
        <v>13</v>
      </c>
      <c r="B646" s="191" t="s">
        <v>77</v>
      </c>
      <c r="C646" s="185" t="s">
        <v>21</v>
      </c>
      <c r="D646" s="88">
        <v>1.23</v>
      </c>
      <c r="E646" s="186">
        <v>2.64</v>
      </c>
      <c r="F646" s="187">
        <f t="shared" si="18"/>
        <v>3.2472000000000003</v>
      </c>
    </row>
    <row r="647" spans="1:7">
      <c r="A647" s="184">
        <v>14</v>
      </c>
      <c r="B647" s="96" t="s">
        <v>48</v>
      </c>
      <c r="C647" s="185" t="s">
        <v>21</v>
      </c>
      <c r="D647" s="88">
        <v>1.23</v>
      </c>
      <c r="E647" s="186">
        <v>1.84</v>
      </c>
      <c r="F647" s="187">
        <f t="shared" si="18"/>
        <v>2.2631999999999999</v>
      </c>
    </row>
    <row r="648" spans="1:7">
      <c r="A648" s="184"/>
      <c r="B648" s="191" t="s">
        <v>74</v>
      </c>
      <c r="C648" s="185"/>
      <c r="D648" s="197">
        <v>26.65</v>
      </c>
      <c r="E648" s="186">
        <v>1.2</v>
      </c>
      <c r="F648" s="187">
        <f t="shared" si="18"/>
        <v>31.979999999999997</v>
      </c>
    </row>
    <row r="649" spans="1:7">
      <c r="A649" s="184"/>
      <c r="B649" s="191" t="s">
        <v>211</v>
      </c>
      <c r="C649" s="185"/>
      <c r="D649" s="239">
        <v>52.89</v>
      </c>
      <c r="E649" s="186">
        <v>0.5</v>
      </c>
      <c r="F649" s="187">
        <f t="shared" si="18"/>
        <v>26.445</v>
      </c>
    </row>
    <row r="650" spans="1:7">
      <c r="A650" s="184">
        <v>15</v>
      </c>
      <c r="B650" s="95" t="s">
        <v>134</v>
      </c>
      <c r="C650" s="185" t="s">
        <v>21</v>
      </c>
      <c r="D650" s="88">
        <v>1.23</v>
      </c>
      <c r="E650" s="186">
        <v>40</v>
      </c>
      <c r="F650" s="187">
        <f t="shared" si="18"/>
        <v>49.2</v>
      </c>
    </row>
    <row r="651" spans="1:7">
      <c r="A651" s="184">
        <v>16</v>
      </c>
      <c r="B651" s="191" t="s">
        <v>53</v>
      </c>
      <c r="C651" s="185" t="s">
        <v>54</v>
      </c>
      <c r="D651" s="88">
        <v>1.23</v>
      </c>
      <c r="E651" s="186">
        <v>2.64</v>
      </c>
      <c r="F651" s="187">
        <f t="shared" si="18"/>
        <v>3.2472000000000003</v>
      </c>
    </row>
    <row r="652" spans="1:7">
      <c r="A652" s="184">
        <v>17</v>
      </c>
      <c r="B652" s="193" t="s">
        <v>267</v>
      </c>
      <c r="C652" s="185" t="s">
        <v>9</v>
      </c>
      <c r="D652" s="104">
        <v>1.23</v>
      </c>
      <c r="E652" s="274">
        <v>11.6</v>
      </c>
      <c r="F652" s="187">
        <f t="shared" si="18"/>
        <v>14.267999999999999</v>
      </c>
    </row>
    <row r="653" spans="1:7" ht="13.5" thickBot="1">
      <c r="A653" s="30">
        <v>18</v>
      </c>
      <c r="B653" s="105" t="s">
        <v>268</v>
      </c>
      <c r="C653" s="106" t="s">
        <v>9</v>
      </c>
      <c r="D653" s="208">
        <v>1.23</v>
      </c>
      <c r="E653" s="108">
        <v>24</v>
      </c>
      <c r="F653" s="109">
        <f t="shared" si="18"/>
        <v>29.52</v>
      </c>
    </row>
    <row r="654" spans="1:7">
      <c r="A654" s="454" t="s">
        <v>30</v>
      </c>
      <c r="B654" s="455"/>
      <c r="C654" s="110"/>
      <c r="D654" s="202"/>
      <c r="E654" s="203"/>
      <c r="F654" s="204">
        <f>SUM(F630:F653)</f>
        <v>788.89670000000012</v>
      </c>
      <c r="G654" s="114">
        <f>F626*F654</f>
        <v>0</v>
      </c>
    </row>
    <row r="655" spans="1:7" ht="13.5" thickBot="1">
      <c r="A655" s="467" t="s">
        <v>31</v>
      </c>
      <c r="B655" s="468"/>
      <c r="C655" s="469"/>
      <c r="D655" s="105"/>
      <c r="E655" s="205">
        <f>E630+E631+E632+E633+E634+E636+E637+E638+E640+E641+E643+E645+E646+E647+E650+E651+E653</f>
        <v>249.18999999999994</v>
      </c>
      <c r="F655" s="206"/>
      <c r="G655" s="118" t="s">
        <v>277</v>
      </c>
    </row>
    <row r="656" spans="1:7" ht="13.5" thickBot="1"/>
    <row r="657" spans="1:6" ht="12" customHeight="1">
      <c r="A657" s="489" t="s">
        <v>677</v>
      </c>
      <c r="B657" s="490"/>
      <c r="C657" s="490"/>
      <c r="D657" s="490"/>
      <c r="E657" s="490"/>
      <c r="F657" s="491"/>
    </row>
    <row r="658" spans="1:6" ht="15" customHeight="1">
      <c r="A658" s="492"/>
      <c r="B658" s="493"/>
      <c r="C658" s="493"/>
      <c r="D658" s="493"/>
      <c r="E658" s="493"/>
      <c r="F658" s="494"/>
    </row>
    <row r="659" spans="1:6" ht="15" customHeight="1" thickBot="1">
      <c r="A659" s="495"/>
      <c r="B659" s="496"/>
      <c r="C659" s="496"/>
      <c r="D659" s="496"/>
      <c r="E659" s="496"/>
      <c r="F659" s="497"/>
    </row>
    <row r="660" spans="1:6" ht="13.5" thickBot="1"/>
    <row r="661" spans="1:6" ht="13.5" thickBot="1">
      <c r="B661" s="2" t="s">
        <v>269</v>
      </c>
      <c r="C661" s="2"/>
      <c r="D661" s="470" t="s">
        <v>1</v>
      </c>
      <c r="E661" s="471"/>
      <c r="F661" s="81">
        <v>0</v>
      </c>
    </row>
    <row r="662" spans="1:6" ht="13.5" thickBot="1"/>
    <row r="663" spans="1:6" ht="11.25" customHeight="1">
      <c r="A663" s="472" t="s">
        <v>276</v>
      </c>
      <c r="B663" s="473"/>
      <c r="C663" s="473"/>
      <c r="D663" s="473"/>
      <c r="E663" s="465" t="s">
        <v>2</v>
      </c>
      <c r="F663" s="466"/>
    </row>
    <row r="664" spans="1:6" ht="51.75" thickBot="1">
      <c r="A664" s="372" t="s">
        <v>716</v>
      </c>
      <c r="B664" s="84" t="s">
        <v>3</v>
      </c>
      <c r="C664" s="84" t="s">
        <v>4</v>
      </c>
      <c r="D664" s="84" t="s">
        <v>5</v>
      </c>
      <c r="E664" s="85" t="s">
        <v>6</v>
      </c>
      <c r="F664" s="86" t="s">
        <v>7</v>
      </c>
    </row>
    <row r="665" spans="1:6" ht="13.5" thickTop="1">
      <c r="A665" s="119">
        <v>1</v>
      </c>
      <c r="B665" s="54" t="s">
        <v>8</v>
      </c>
      <c r="C665" s="87" t="s">
        <v>9</v>
      </c>
      <c r="D665" s="88">
        <v>1.23</v>
      </c>
      <c r="E665" s="89">
        <v>1.2</v>
      </c>
      <c r="F665" s="90">
        <f>E665*D665</f>
        <v>1.476</v>
      </c>
    </row>
    <row r="666" spans="1:6">
      <c r="A666" s="17"/>
      <c r="B666" s="91" t="s">
        <v>10</v>
      </c>
      <c r="C666" s="92"/>
      <c r="D666" s="93">
        <v>0.35</v>
      </c>
      <c r="E666" s="94">
        <v>300</v>
      </c>
      <c r="F666" s="122">
        <f>E666*D666</f>
        <v>105</v>
      </c>
    </row>
    <row r="667" spans="1:6">
      <c r="A667" s="17">
        <v>2</v>
      </c>
      <c r="B667" s="95" t="s">
        <v>11</v>
      </c>
      <c r="C667" s="92" t="s">
        <v>9</v>
      </c>
      <c r="D667" s="88">
        <v>1.23</v>
      </c>
      <c r="E667" s="94">
        <v>1.1599999999999999</v>
      </c>
      <c r="F667" s="122">
        <f t="shared" ref="F667:F690" si="19">E667*D667</f>
        <v>1.4267999999999998</v>
      </c>
    </row>
    <row r="668" spans="1:6">
      <c r="A668" s="17">
        <v>3</v>
      </c>
      <c r="B668" s="96" t="s">
        <v>12</v>
      </c>
      <c r="C668" s="92" t="s">
        <v>9</v>
      </c>
      <c r="D668" s="88">
        <v>1.23</v>
      </c>
      <c r="E668" s="94">
        <v>20.28</v>
      </c>
      <c r="F668" s="122">
        <f t="shared" si="19"/>
        <v>24.944400000000002</v>
      </c>
    </row>
    <row r="669" spans="1:6">
      <c r="A669" s="17">
        <v>4</v>
      </c>
      <c r="B669" s="91" t="s">
        <v>13</v>
      </c>
      <c r="C669" s="92" t="s">
        <v>9</v>
      </c>
      <c r="D669" s="88">
        <v>1.23</v>
      </c>
      <c r="E669" s="94">
        <v>3.78</v>
      </c>
      <c r="F669" s="122">
        <f t="shared" si="19"/>
        <v>4.6494</v>
      </c>
    </row>
    <row r="670" spans="1:6">
      <c r="A670" s="184"/>
      <c r="B670" s="96" t="s">
        <v>16</v>
      </c>
      <c r="C670" s="185" t="s">
        <v>18</v>
      </c>
      <c r="D670" s="190">
        <v>1200</v>
      </c>
      <c r="E670" s="186">
        <v>0.1</v>
      </c>
      <c r="F670" s="122">
        <f t="shared" si="19"/>
        <v>120</v>
      </c>
    </row>
    <row r="671" spans="1:6">
      <c r="A671" s="17">
        <v>5</v>
      </c>
      <c r="B671" s="54" t="s">
        <v>8</v>
      </c>
      <c r="C671" s="92" t="s">
        <v>45</v>
      </c>
      <c r="D671" s="88">
        <v>1.23</v>
      </c>
      <c r="E671" s="94">
        <v>0.84</v>
      </c>
      <c r="F671" s="122">
        <f t="shared" si="19"/>
        <v>1.0331999999999999</v>
      </c>
    </row>
    <row r="672" spans="1:6">
      <c r="A672" s="17"/>
      <c r="B672" s="91" t="s">
        <v>51</v>
      </c>
      <c r="C672" s="92"/>
      <c r="D672" s="104">
        <v>0.32</v>
      </c>
      <c r="E672" s="94">
        <v>200</v>
      </c>
      <c r="F672" s="122">
        <f t="shared" si="19"/>
        <v>64</v>
      </c>
    </row>
    <row r="673" spans="1:6">
      <c r="A673" s="184">
        <v>6</v>
      </c>
      <c r="B673" s="95" t="s">
        <v>11</v>
      </c>
      <c r="C673" s="185" t="s">
        <v>45</v>
      </c>
      <c r="D673" s="88">
        <v>1.23</v>
      </c>
      <c r="E673" s="186">
        <v>1.1599999999999999</v>
      </c>
      <c r="F673" s="122">
        <f t="shared" si="19"/>
        <v>1.4267999999999998</v>
      </c>
    </row>
    <row r="674" spans="1:6">
      <c r="A674" s="184">
        <v>7</v>
      </c>
      <c r="B674" s="96" t="s">
        <v>83</v>
      </c>
      <c r="C674" s="185" t="s">
        <v>21</v>
      </c>
      <c r="D674" s="88">
        <v>1.23</v>
      </c>
      <c r="E674" s="186">
        <v>0.92</v>
      </c>
      <c r="F674" s="122">
        <f t="shared" si="19"/>
        <v>1.1315999999999999</v>
      </c>
    </row>
    <row r="675" spans="1:6">
      <c r="A675" s="184"/>
      <c r="B675" s="191" t="s">
        <v>131</v>
      </c>
      <c r="C675" s="185"/>
      <c r="D675" s="231">
        <v>8.8800000000000008</v>
      </c>
      <c r="E675" s="186">
        <v>5</v>
      </c>
      <c r="F675" s="122">
        <f t="shared" si="19"/>
        <v>44.400000000000006</v>
      </c>
    </row>
    <row r="676" spans="1:6">
      <c r="A676" s="184">
        <v>8</v>
      </c>
      <c r="B676" s="95" t="s">
        <v>44</v>
      </c>
      <c r="C676" s="185" t="s">
        <v>21</v>
      </c>
      <c r="D676" s="88">
        <v>1.23</v>
      </c>
      <c r="E676" s="186">
        <v>2.16</v>
      </c>
      <c r="F676" s="122">
        <f t="shared" si="19"/>
        <v>2.6568000000000001</v>
      </c>
    </row>
    <row r="677" spans="1:6">
      <c r="A677" s="184">
        <v>9</v>
      </c>
      <c r="B677" s="191" t="s">
        <v>270</v>
      </c>
      <c r="C677" s="185" t="s">
        <v>21</v>
      </c>
      <c r="D677" s="88">
        <v>1.23</v>
      </c>
      <c r="E677" s="186">
        <v>25.48</v>
      </c>
      <c r="F677" s="122">
        <f t="shared" si="19"/>
        <v>31.340399999999999</v>
      </c>
    </row>
    <row r="678" spans="1:6">
      <c r="A678" s="184">
        <v>10</v>
      </c>
      <c r="B678" s="191" t="s">
        <v>271</v>
      </c>
      <c r="C678" s="185" t="s">
        <v>21</v>
      </c>
      <c r="D678" s="189"/>
      <c r="E678" s="186">
        <v>0</v>
      </c>
      <c r="F678" s="122">
        <f t="shared" si="19"/>
        <v>0</v>
      </c>
    </row>
    <row r="679" spans="1:6">
      <c r="A679" s="184">
        <v>11</v>
      </c>
      <c r="B679" s="95" t="s">
        <v>134</v>
      </c>
      <c r="C679" s="185" t="s">
        <v>21</v>
      </c>
      <c r="D679" s="88">
        <v>1.23</v>
      </c>
      <c r="E679" s="186">
        <v>40</v>
      </c>
      <c r="F679" s="122">
        <f t="shared" si="19"/>
        <v>49.2</v>
      </c>
    </row>
    <row r="680" spans="1:6">
      <c r="A680" s="184">
        <v>12</v>
      </c>
      <c r="B680" s="191" t="s">
        <v>77</v>
      </c>
      <c r="C680" s="185" t="s">
        <v>21</v>
      </c>
      <c r="D680" s="88">
        <v>1.23</v>
      </c>
      <c r="E680" s="186">
        <v>2.64</v>
      </c>
      <c r="F680" s="122">
        <f t="shared" si="19"/>
        <v>3.2472000000000003</v>
      </c>
    </row>
    <row r="681" spans="1:6">
      <c r="A681" s="17">
        <v>13</v>
      </c>
      <c r="B681" s="96" t="s">
        <v>72</v>
      </c>
      <c r="C681" s="133" t="s">
        <v>146</v>
      </c>
      <c r="D681" s="88">
        <v>1.23</v>
      </c>
      <c r="E681" s="134">
        <v>4.5999999999999996</v>
      </c>
      <c r="F681" s="122">
        <f t="shared" si="19"/>
        <v>5.6579999999999995</v>
      </c>
    </row>
    <row r="682" spans="1:6">
      <c r="A682" s="17"/>
      <c r="B682" s="96" t="s">
        <v>74</v>
      </c>
      <c r="C682" s="136"/>
      <c r="D682" s="197">
        <v>26.65</v>
      </c>
      <c r="E682" s="134">
        <v>1.2</v>
      </c>
      <c r="F682" s="122">
        <f t="shared" si="19"/>
        <v>31.979999999999997</v>
      </c>
    </row>
    <row r="683" spans="1:6">
      <c r="A683" s="17"/>
      <c r="B683" s="96" t="s">
        <v>272</v>
      </c>
      <c r="C683" s="136"/>
      <c r="D683" s="104">
        <v>170.37</v>
      </c>
      <c r="E683" s="134">
        <v>0.1</v>
      </c>
      <c r="F683" s="122">
        <f t="shared" si="19"/>
        <v>17.037000000000003</v>
      </c>
    </row>
    <row r="684" spans="1:6">
      <c r="A684" s="17"/>
      <c r="B684" s="96" t="s">
        <v>192</v>
      </c>
      <c r="C684" s="136"/>
      <c r="D684" s="104">
        <v>22.64</v>
      </c>
      <c r="E684" s="138">
        <v>2.5</v>
      </c>
      <c r="F684" s="122">
        <f t="shared" si="19"/>
        <v>56.6</v>
      </c>
    </row>
    <row r="685" spans="1:6">
      <c r="A685" s="17"/>
      <c r="B685" s="96" t="s">
        <v>210</v>
      </c>
      <c r="C685" s="92"/>
      <c r="D685" s="189">
        <v>6.46</v>
      </c>
      <c r="E685" s="94">
        <v>2.5</v>
      </c>
      <c r="F685" s="122">
        <f t="shared" si="19"/>
        <v>16.149999999999999</v>
      </c>
    </row>
    <row r="686" spans="1:6">
      <c r="A686" s="184">
        <v>14</v>
      </c>
      <c r="B686" s="95" t="s">
        <v>134</v>
      </c>
      <c r="C686" s="185" t="s">
        <v>54</v>
      </c>
      <c r="D686" s="88">
        <v>1.23</v>
      </c>
      <c r="E686" s="186">
        <v>40</v>
      </c>
      <c r="F686" s="122">
        <f t="shared" si="19"/>
        <v>49.2</v>
      </c>
    </row>
    <row r="687" spans="1:6">
      <c r="A687" s="184">
        <v>15</v>
      </c>
      <c r="B687" s="191" t="s">
        <v>53</v>
      </c>
      <c r="C687" s="185" t="s">
        <v>54</v>
      </c>
      <c r="D687" s="88">
        <v>1.23</v>
      </c>
      <c r="E687" s="186">
        <v>2.64</v>
      </c>
      <c r="F687" s="122">
        <f t="shared" si="19"/>
        <v>3.2472000000000003</v>
      </c>
    </row>
    <row r="688" spans="1:6">
      <c r="A688" s="184">
        <v>16</v>
      </c>
      <c r="B688" s="95" t="s">
        <v>273</v>
      </c>
      <c r="C688" s="185" t="s">
        <v>274</v>
      </c>
      <c r="D688" s="88">
        <v>1.23</v>
      </c>
      <c r="E688" s="186">
        <v>200</v>
      </c>
      <c r="F688" s="122">
        <f t="shared" si="19"/>
        <v>246</v>
      </c>
    </row>
    <row r="689" spans="1:7">
      <c r="A689" s="184">
        <v>17</v>
      </c>
      <c r="B689" s="193" t="s">
        <v>275</v>
      </c>
      <c r="C689" s="185" t="s">
        <v>274</v>
      </c>
      <c r="D689" s="104"/>
      <c r="E689" s="186">
        <v>0</v>
      </c>
      <c r="F689" s="122">
        <f t="shared" si="19"/>
        <v>0</v>
      </c>
    </row>
    <row r="690" spans="1:7" ht="13.5" thickBot="1">
      <c r="A690" s="30">
        <v>18</v>
      </c>
      <c r="B690" s="105" t="s">
        <v>270</v>
      </c>
      <c r="C690" s="106" t="s">
        <v>274</v>
      </c>
      <c r="D690" s="208">
        <v>1.23</v>
      </c>
      <c r="E690" s="453">
        <v>37.5</v>
      </c>
      <c r="F690" s="109">
        <f t="shared" si="19"/>
        <v>46.125</v>
      </c>
    </row>
    <row r="691" spans="1:7">
      <c r="A691" s="454" t="s">
        <v>30</v>
      </c>
      <c r="B691" s="455"/>
      <c r="C691" s="110"/>
      <c r="D691" s="202"/>
      <c r="E691" s="203"/>
      <c r="F691" s="204">
        <f>SUM(F665:F690)</f>
        <v>927.9298</v>
      </c>
      <c r="G691" s="114">
        <f>F661*F691</f>
        <v>0</v>
      </c>
    </row>
    <row r="692" spans="1:7" ht="13.5" thickBot="1">
      <c r="A692" s="467" t="s">
        <v>31</v>
      </c>
      <c r="B692" s="468"/>
      <c r="C692" s="469"/>
      <c r="D692" s="105"/>
      <c r="E692" s="205">
        <f>E665+E667+E668+E669+E671+E673+E674+E676+E677+E679+E680+E681+E686+E687+E688+E689+E690</f>
        <v>384.36</v>
      </c>
      <c r="F692" s="206"/>
      <c r="G692" s="118" t="s">
        <v>277</v>
      </c>
    </row>
    <row r="693" spans="1:7" ht="13.5" thickBot="1"/>
    <row r="694" spans="1:7" ht="12" customHeight="1">
      <c r="A694" s="489" t="s">
        <v>678</v>
      </c>
      <c r="B694" s="490"/>
      <c r="C694" s="490"/>
      <c r="D694" s="490"/>
      <c r="E694" s="490"/>
      <c r="F694" s="491"/>
    </row>
    <row r="695" spans="1:7" ht="15" customHeight="1">
      <c r="A695" s="492"/>
      <c r="B695" s="493"/>
      <c r="C695" s="493"/>
      <c r="D695" s="493"/>
      <c r="E695" s="493"/>
      <c r="F695" s="494"/>
    </row>
    <row r="696" spans="1:7" ht="15" customHeight="1" thickBot="1">
      <c r="A696" s="495"/>
      <c r="B696" s="496"/>
      <c r="C696" s="496"/>
      <c r="D696" s="496"/>
      <c r="E696" s="496"/>
      <c r="F696" s="497"/>
    </row>
  </sheetData>
  <mergeCells count="114">
    <mergeCell ref="A694:F696"/>
    <mergeCell ref="D1:E1"/>
    <mergeCell ref="D44:E44"/>
    <mergeCell ref="D85:E85"/>
    <mergeCell ref="D116:E116"/>
    <mergeCell ref="D147:E147"/>
    <mergeCell ref="D186:E186"/>
    <mergeCell ref="D222:E222"/>
    <mergeCell ref="D272:E272"/>
    <mergeCell ref="D309:E309"/>
    <mergeCell ref="D343:E343"/>
    <mergeCell ref="D388:E388"/>
    <mergeCell ref="D415:E415"/>
    <mergeCell ref="D456:E456"/>
    <mergeCell ref="D492:E492"/>
    <mergeCell ref="D528:E528"/>
    <mergeCell ref="D560:E560"/>
    <mergeCell ref="D591:E591"/>
    <mergeCell ref="D626:E626"/>
    <mergeCell ref="D661:E661"/>
    <mergeCell ref="A3:D3"/>
    <mergeCell ref="A214:B214"/>
    <mergeCell ref="A215:C215"/>
    <mergeCell ref="A224:D224"/>
    <mergeCell ref="E3:F3"/>
    <mergeCell ref="A37:B37"/>
    <mergeCell ref="A38:C38"/>
    <mergeCell ref="A40:F42"/>
    <mergeCell ref="A81:F83"/>
    <mergeCell ref="A112:F114"/>
    <mergeCell ref="A143:F145"/>
    <mergeCell ref="A181:F184"/>
    <mergeCell ref="A217:F220"/>
    <mergeCell ref="A46:D46"/>
    <mergeCell ref="E46:F46"/>
    <mergeCell ref="A78:B78"/>
    <mergeCell ref="A179:C179"/>
    <mergeCell ref="A188:D188"/>
    <mergeCell ref="E188:F188"/>
    <mergeCell ref="A79:C79"/>
    <mergeCell ref="A87:D87"/>
    <mergeCell ref="E87:F87"/>
    <mergeCell ref="A140:B140"/>
    <mergeCell ref="A141:C141"/>
    <mergeCell ref="A149:D149"/>
    <mergeCell ref="E149:F149"/>
    <mergeCell ref="A109:B109"/>
    <mergeCell ref="A110:C110"/>
    <mergeCell ref="A118:D118"/>
    <mergeCell ref="E118:F118"/>
    <mergeCell ref="A302:B302"/>
    <mergeCell ref="A303:C303"/>
    <mergeCell ref="A311:D311"/>
    <mergeCell ref="E311:F311"/>
    <mergeCell ref="A265:B265"/>
    <mergeCell ref="A266:C266"/>
    <mergeCell ref="A274:D274"/>
    <mergeCell ref="E274:F274"/>
    <mergeCell ref="E224:F224"/>
    <mergeCell ref="A178:B178"/>
    <mergeCell ref="A381:B381"/>
    <mergeCell ref="A268:F270"/>
    <mergeCell ref="A305:F307"/>
    <mergeCell ref="A339:F341"/>
    <mergeCell ref="A382:C382"/>
    <mergeCell ref="A390:D390"/>
    <mergeCell ref="E390:F390"/>
    <mergeCell ref="A336:B336"/>
    <mergeCell ref="A337:C337"/>
    <mergeCell ref="A345:D345"/>
    <mergeCell ref="E345:F345"/>
    <mergeCell ref="A449:B449"/>
    <mergeCell ref="A450:C450"/>
    <mergeCell ref="A384:F386"/>
    <mergeCell ref="A411:F413"/>
    <mergeCell ref="A458:D458"/>
    <mergeCell ref="E458:F458"/>
    <mergeCell ref="A408:B408"/>
    <mergeCell ref="A409:C409"/>
    <mergeCell ref="A417:D417"/>
    <mergeCell ref="E417:F417"/>
    <mergeCell ref="A521:B521"/>
    <mergeCell ref="A522:C522"/>
    <mergeCell ref="A530:D530"/>
    <mergeCell ref="E530:F530"/>
    <mergeCell ref="A485:B485"/>
    <mergeCell ref="A486:C486"/>
    <mergeCell ref="A494:D494"/>
    <mergeCell ref="E494:F494"/>
    <mergeCell ref="A452:F454"/>
    <mergeCell ref="A488:F490"/>
    <mergeCell ref="A524:F526"/>
    <mergeCell ref="A584:B584"/>
    <mergeCell ref="A585:C585"/>
    <mergeCell ref="A553:B553"/>
    <mergeCell ref="A554:C554"/>
    <mergeCell ref="A556:F558"/>
    <mergeCell ref="A663:D663"/>
    <mergeCell ref="E663:F663"/>
    <mergeCell ref="A691:B691"/>
    <mergeCell ref="A692:C692"/>
    <mergeCell ref="A628:D628"/>
    <mergeCell ref="E628:F628"/>
    <mergeCell ref="A654:B654"/>
    <mergeCell ref="A655:C655"/>
    <mergeCell ref="A593:D593"/>
    <mergeCell ref="E593:F593"/>
    <mergeCell ref="A619:B619"/>
    <mergeCell ref="A620:C620"/>
    <mergeCell ref="A562:D562"/>
    <mergeCell ref="E562:F562"/>
    <mergeCell ref="A587:F589"/>
    <mergeCell ref="A622:F624"/>
    <mergeCell ref="A657:F659"/>
  </mergeCells>
  <pageMargins left="0.7" right="0.7" top="0.75" bottom="0.75" header="0.3" footer="0.3"/>
  <pageSetup paperSize="9" scale="62" orientation="portrait" r:id="rId1"/>
  <rowBreaks count="9" manualBreakCount="9">
    <brk id="83" max="6" man="1"/>
    <brk id="145" max="6" man="1"/>
    <brk id="220" max="6" man="1"/>
    <brk id="307" max="6" man="1"/>
    <brk id="386" max="6" man="1"/>
    <brk id="454" max="6" man="1"/>
    <brk id="526" max="6" man="1"/>
    <brk id="589" max="6" man="1"/>
    <brk id="659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9"/>
  <sheetViews>
    <sheetView workbookViewId="0">
      <selection activeCell="F1" sqref="F1"/>
    </sheetView>
  </sheetViews>
  <sheetFormatPr defaultRowHeight="12.75"/>
  <cols>
    <col min="1" max="1" width="4" style="3" bestFit="1" customWidth="1"/>
    <col min="2" max="2" width="30.7109375" style="3" customWidth="1"/>
    <col min="3" max="4" width="10.7109375" style="3" customWidth="1"/>
    <col min="5" max="5" width="17.7109375" style="3" customWidth="1"/>
    <col min="6" max="6" width="17.7109375" style="83" customWidth="1"/>
    <col min="7" max="7" width="9.28515625" style="3" bestFit="1" customWidth="1"/>
    <col min="8" max="252" width="9.140625" style="3"/>
    <col min="253" max="253" width="3.5703125" style="3" bestFit="1" customWidth="1"/>
    <col min="254" max="254" width="22.7109375" style="3" customWidth="1"/>
    <col min="255" max="255" width="7.85546875" style="3" bestFit="1" customWidth="1"/>
    <col min="256" max="256" width="10.42578125" style="3" bestFit="1" customWidth="1"/>
    <col min="257" max="257" width="7" style="3" customWidth="1"/>
    <col min="258" max="258" width="10.7109375" style="3" customWidth="1"/>
    <col min="259" max="259" width="10.28515625" style="3" customWidth="1"/>
    <col min="260" max="260" width="9.140625" style="3"/>
    <col min="261" max="261" width="11.42578125" style="3" customWidth="1"/>
    <col min="262" max="262" width="13.85546875" style="3" customWidth="1"/>
    <col min="263" max="508" width="9.140625" style="3"/>
    <col min="509" max="509" width="3.5703125" style="3" bestFit="1" customWidth="1"/>
    <col min="510" max="510" width="22.7109375" style="3" customWidth="1"/>
    <col min="511" max="511" width="7.85546875" style="3" bestFit="1" customWidth="1"/>
    <col min="512" max="512" width="10.42578125" style="3" bestFit="1" customWidth="1"/>
    <col min="513" max="513" width="7" style="3" customWidth="1"/>
    <col min="514" max="514" width="10.7109375" style="3" customWidth="1"/>
    <col min="515" max="515" width="10.28515625" style="3" customWidth="1"/>
    <col min="516" max="516" width="9.140625" style="3"/>
    <col min="517" max="517" width="11.42578125" style="3" customWidth="1"/>
    <col min="518" max="518" width="13.85546875" style="3" customWidth="1"/>
    <col min="519" max="764" width="9.140625" style="3"/>
    <col min="765" max="765" width="3.5703125" style="3" bestFit="1" customWidth="1"/>
    <col min="766" max="766" width="22.7109375" style="3" customWidth="1"/>
    <col min="767" max="767" width="7.85546875" style="3" bestFit="1" customWidth="1"/>
    <col min="768" max="768" width="10.42578125" style="3" bestFit="1" customWidth="1"/>
    <col min="769" max="769" width="7" style="3" customWidth="1"/>
    <col min="770" max="770" width="10.7109375" style="3" customWidth="1"/>
    <col min="771" max="771" width="10.28515625" style="3" customWidth="1"/>
    <col min="772" max="772" width="9.140625" style="3"/>
    <col min="773" max="773" width="11.42578125" style="3" customWidth="1"/>
    <col min="774" max="774" width="13.85546875" style="3" customWidth="1"/>
    <col min="775" max="1020" width="9.140625" style="3"/>
    <col min="1021" max="1021" width="3.5703125" style="3" bestFit="1" customWidth="1"/>
    <col min="1022" max="1022" width="22.7109375" style="3" customWidth="1"/>
    <col min="1023" max="1023" width="7.85546875" style="3" bestFit="1" customWidth="1"/>
    <col min="1024" max="1024" width="10.42578125" style="3" bestFit="1" customWidth="1"/>
    <col min="1025" max="1025" width="7" style="3" customWidth="1"/>
    <col min="1026" max="1026" width="10.7109375" style="3" customWidth="1"/>
    <col min="1027" max="1027" width="10.28515625" style="3" customWidth="1"/>
    <col min="1028" max="1028" width="9.140625" style="3"/>
    <col min="1029" max="1029" width="11.42578125" style="3" customWidth="1"/>
    <col min="1030" max="1030" width="13.85546875" style="3" customWidth="1"/>
    <col min="1031" max="1276" width="9.140625" style="3"/>
    <col min="1277" max="1277" width="3.5703125" style="3" bestFit="1" customWidth="1"/>
    <col min="1278" max="1278" width="22.7109375" style="3" customWidth="1"/>
    <col min="1279" max="1279" width="7.85546875" style="3" bestFit="1" customWidth="1"/>
    <col min="1280" max="1280" width="10.42578125" style="3" bestFit="1" customWidth="1"/>
    <col min="1281" max="1281" width="7" style="3" customWidth="1"/>
    <col min="1282" max="1282" width="10.7109375" style="3" customWidth="1"/>
    <col min="1283" max="1283" width="10.28515625" style="3" customWidth="1"/>
    <col min="1284" max="1284" width="9.140625" style="3"/>
    <col min="1285" max="1285" width="11.42578125" style="3" customWidth="1"/>
    <col min="1286" max="1286" width="13.85546875" style="3" customWidth="1"/>
    <col min="1287" max="1532" width="9.140625" style="3"/>
    <col min="1533" max="1533" width="3.5703125" style="3" bestFit="1" customWidth="1"/>
    <col min="1534" max="1534" width="22.7109375" style="3" customWidth="1"/>
    <col min="1535" max="1535" width="7.85546875" style="3" bestFit="1" customWidth="1"/>
    <col min="1536" max="1536" width="10.42578125" style="3" bestFit="1" customWidth="1"/>
    <col min="1537" max="1537" width="7" style="3" customWidth="1"/>
    <col min="1538" max="1538" width="10.7109375" style="3" customWidth="1"/>
    <col min="1539" max="1539" width="10.28515625" style="3" customWidth="1"/>
    <col min="1540" max="1540" width="9.140625" style="3"/>
    <col min="1541" max="1541" width="11.42578125" style="3" customWidth="1"/>
    <col min="1542" max="1542" width="13.85546875" style="3" customWidth="1"/>
    <col min="1543" max="1788" width="9.140625" style="3"/>
    <col min="1789" max="1789" width="3.5703125" style="3" bestFit="1" customWidth="1"/>
    <col min="1790" max="1790" width="22.7109375" style="3" customWidth="1"/>
    <col min="1791" max="1791" width="7.85546875" style="3" bestFit="1" customWidth="1"/>
    <col min="1792" max="1792" width="10.42578125" style="3" bestFit="1" customWidth="1"/>
    <col min="1793" max="1793" width="7" style="3" customWidth="1"/>
    <col min="1794" max="1794" width="10.7109375" style="3" customWidth="1"/>
    <col min="1795" max="1795" width="10.28515625" style="3" customWidth="1"/>
    <col min="1796" max="1796" width="9.140625" style="3"/>
    <col min="1797" max="1797" width="11.42578125" style="3" customWidth="1"/>
    <col min="1798" max="1798" width="13.85546875" style="3" customWidth="1"/>
    <col min="1799" max="2044" width="9.140625" style="3"/>
    <col min="2045" max="2045" width="3.5703125" style="3" bestFit="1" customWidth="1"/>
    <col min="2046" max="2046" width="22.7109375" style="3" customWidth="1"/>
    <col min="2047" max="2047" width="7.85546875" style="3" bestFit="1" customWidth="1"/>
    <col min="2048" max="2048" width="10.42578125" style="3" bestFit="1" customWidth="1"/>
    <col min="2049" max="2049" width="7" style="3" customWidth="1"/>
    <col min="2050" max="2050" width="10.7109375" style="3" customWidth="1"/>
    <col min="2051" max="2051" width="10.28515625" style="3" customWidth="1"/>
    <col min="2052" max="2052" width="9.140625" style="3"/>
    <col min="2053" max="2053" width="11.42578125" style="3" customWidth="1"/>
    <col min="2054" max="2054" width="13.85546875" style="3" customWidth="1"/>
    <col min="2055" max="2300" width="9.140625" style="3"/>
    <col min="2301" max="2301" width="3.5703125" style="3" bestFit="1" customWidth="1"/>
    <col min="2302" max="2302" width="22.7109375" style="3" customWidth="1"/>
    <col min="2303" max="2303" width="7.85546875" style="3" bestFit="1" customWidth="1"/>
    <col min="2304" max="2304" width="10.42578125" style="3" bestFit="1" customWidth="1"/>
    <col min="2305" max="2305" width="7" style="3" customWidth="1"/>
    <col min="2306" max="2306" width="10.7109375" style="3" customWidth="1"/>
    <col min="2307" max="2307" width="10.28515625" style="3" customWidth="1"/>
    <col min="2308" max="2308" width="9.140625" style="3"/>
    <col min="2309" max="2309" width="11.42578125" style="3" customWidth="1"/>
    <col min="2310" max="2310" width="13.85546875" style="3" customWidth="1"/>
    <col min="2311" max="2556" width="9.140625" style="3"/>
    <col min="2557" max="2557" width="3.5703125" style="3" bestFit="1" customWidth="1"/>
    <col min="2558" max="2558" width="22.7109375" style="3" customWidth="1"/>
    <col min="2559" max="2559" width="7.85546875" style="3" bestFit="1" customWidth="1"/>
    <col min="2560" max="2560" width="10.42578125" style="3" bestFit="1" customWidth="1"/>
    <col min="2561" max="2561" width="7" style="3" customWidth="1"/>
    <col min="2562" max="2562" width="10.7109375" style="3" customWidth="1"/>
    <col min="2563" max="2563" width="10.28515625" style="3" customWidth="1"/>
    <col min="2564" max="2564" width="9.140625" style="3"/>
    <col min="2565" max="2565" width="11.42578125" style="3" customWidth="1"/>
    <col min="2566" max="2566" width="13.85546875" style="3" customWidth="1"/>
    <col min="2567" max="2812" width="9.140625" style="3"/>
    <col min="2813" max="2813" width="3.5703125" style="3" bestFit="1" customWidth="1"/>
    <col min="2814" max="2814" width="22.7109375" style="3" customWidth="1"/>
    <col min="2815" max="2815" width="7.85546875" style="3" bestFit="1" customWidth="1"/>
    <col min="2816" max="2816" width="10.42578125" style="3" bestFit="1" customWidth="1"/>
    <col min="2817" max="2817" width="7" style="3" customWidth="1"/>
    <col min="2818" max="2818" width="10.7109375" style="3" customWidth="1"/>
    <col min="2819" max="2819" width="10.28515625" style="3" customWidth="1"/>
    <col min="2820" max="2820" width="9.140625" style="3"/>
    <col min="2821" max="2821" width="11.42578125" style="3" customWidth="1"/>
    <col min="2822" max="2822" width="13.85546875" style="3" customWidth="1"/>
    <col min="2823" max="3068" width="9.140625" style="3"/>
    <col min="3069" max="3069" width="3.5703125" style="3" bestFit="1" customWidth="1"/>
    <col min="3070" max="3070" width="22.7109375" style="3" customWidth="1"/>
    <col min="3071" max="3071" width="7.85546875" style="3" bestFit="1" customWidth="1"/>
    <col min="3072" max="3072" width="10.42578125" style="3" bestFit="1" customWidth="1"/>
    <col min="3073" max="3073" width="7" style="3" customWidth="1"/>
    <col min="3074" max="3074" width="10.7109375" style="3" customWidth="1"/>
    <col min="3075" max="3075" width="10.28515625" style="3" customWidth="1"/>
    <col min="3076" max="3076" width="9.140625" style="3"/>
    <col min="3077" max="3077" width="11.42578125" style="3" customWidth="1"/>
    <col min="3078" max="3078" width="13.85546875" style="3" customWidth="1"/>
    <col min="3079" max="3324" width="9.140625" style="3"/>
    <col min="3325" max="3325" width="3.5703125" style="3" bestFit="1" customWidth="1"/>
    <col min="3326" max="3326" width="22.7109375" style="3" customWidth="1"/>
    <col min="3327" max="3327" width="7.85546875" style="3" bestFit="1" customWidth="1"/>
    <col min="3328" max="3328" width="10.42578125" style="3" bestFit="1" customWidth="1"/>
    <col min="3329" max="3329" width="7" style="3" customWidth="1"/>
    <col min="3330" max="3330" width="10.7109375" style="3" customWidth="1"/>
    <col min="3331" max="3331" width="10.28515625" style="3" customWidth="1"/>
    <col min="3332" max="3332" width="9.140625" style="3"/>
    <col min="3333" max="3333" width="11.42578125" style="3" customWidth="1"/>
    <col min="3334" max="3334" width="13.85546875" style="3" customWidth="1"/>
    <col min="3335" max="3580" width="9.140625" style="3"/>
    <col min="3581" max="3581" width="3.5703125" style="3" bestFit="1" customWidth="1"/>
    <col min="3582" max="3582" width="22.7109375" style="3" customWidth="1"/>
    <col min="3583" max="3583" width="7.85546875" style="3" bestFit="1" customWidth="1"/>
    <col min="3584" max="3584" width="10.42578125" style="3" bestFit="1" customWidth="1"/>
    <col min="3585" max="3585" width="7" style="3" customWidth="1"/>
    <col min="3586" max="3586" width="10.7109375" style="3" customWidth="1"/>
    <col min="3587" max="3587" width="10.28515625" style="3" customWidth="1"/>
    <col min="3588" max="3588" width="9.140625" style="3"/>
    <col min="3589" max="3589" width="11.42578125" style="3" customWidth="1"/>
    <col min="3590" max="3590" width="13.85546875" style="3" customWidth="1"/>
    <col min="3591" max="3836" width="9.140625" style="3"/>
    <col min="3837" max="3837" width="3.5703125" style="3" bestFit="1" customWidth="1"/>
    <col min="3838" max="3838" width="22.7109375" style="3" customWidth="1"/>
    <col min="3839" max="3839" width="7.85546875" style="3" bestFit="1" customWidth="1"/>
    <col min="3840" max="3840" width="10.42578125" style="3" bestFit="1" customWidth="1"/>
    <col min="3841" max="3841" width="7" style="3" customWidth="1"/>
    <col min="3842" max="3842" width="10.7109375" style="3" customWidth="1"/>
    <col min="3843" max="3843" width="10.28515625" style="3" customWidth="1"/>
    <col min="3844" max="3844" width="9.140625" style="3"/>
    <col min="3845" max="3845" width="11.42578125" style="3" customWidth="1"/>
    <col min="3846" max="3846" width="13.85546875" style="3" customWidth="1"/>
    <col min="3847" max="4092" width="9.140625" style="3"/>
    <col min="4093" max="4093" width="3.5703125" style="3" bestFit="1" customWidth="1"/>
    <col min="4094" max="4094" width="22.7109375" style="3" customWidth="1"/>
    <col min="4095" max="4095" width="7.85546875" style="3" bestFit="1" customWidth="1"/>
    <col min="4096" max="4096" width="10.42578125" style="3" bestFit="1" customWidth="1"/>
    <col min="4097" max="4097" width="7" style="3" customWidth="1"/>
    <col min="4098" max="4098" width="10.7109375" style="3" customWidth="1"/>
    <col min="4099" max="4099" width="10.28515625" style="3" customWidth="1"/>
    <col min="4100" max="4100" width="9.140625" style="3"/>
    <col min="4101" max="4101" width="11.42578125" style="3" customWidth="1"/>
    <col min="4102" max="4102" width="13.85546875" style="3" customWidth="1"/>
    <col min="4103" max="4348" width="9.140625" style="3"/>
    <col min="4349" max="4349" width="3.5703125" style="3" bestFit="1" customWidth="1"/>
    <col min="4350" max="4350" width="22.7109375" style="3" customWidth="1"/>
    <col min="4351" max="4351" width="7.85546875" style="3" bestFit="1" customWidth="1"/>
    <col min="4352" max="4352" width="10.42578125" style="3" bestFit="1" customWidth="1"/>
    <col min="4353" max="4353" width="7" style="3" customWidth="1"/>
    <col min="4354" max="4354" width="10.7109375" style="3" customWidth="1"/>
    <col min="4355" max="4355" width="10.28515625" style="3" customWidth="1"/>
    <col min="4356" max="4356" width="9.140625" style="3"/>
    <col min="4357" max="4357" width="11.42578125" style="3" customWidth="1"/>
    <col min="4358" max="4358" width="13.85546875" style="3" customWidth="1"/>
    <col min="4359" max="4604" width="9.140625" style="3"/>
    <col min="4605" max="4605" width="3.5703125" style="3" bestFit="1" customWidth="1"/>
    <col min="4606" max="4606" width="22.7109375" style="3" customWidth="1"/>
    <col min="4607" max="4607" width="7.85546875" style="3" bestFit="1" customWidth="1"/>
    <col min="4608" max="4608" width="10.42578125" style="3" bestFit="1" customWidth="1"/>
    <col min="4609" max="4609" width="7" style="3" customWidth="1"/>
    <col min="4610" max="4610" width="10.7109375" style="3" customWidth="1"/>
    <col min="4611" max="4611" width="10.28515625" style="3" customWidth="1"/>
    <col min="4612" max="4612" width="9.140625" style="3"/>
    <col min="4613" max="4613" width="11.42578125" style="3" customWidth="1"/>
    <col min="4614" max="4614" width="13.85546875" style="3" customWidth="1"/>
    <col min="4615" max="4860" width="9.140625" style="3"/>
    <col min="4861" max="4861" width="3.5703125" style="3" bestFit="1" customWidth="1"/>
    <col min="4862" max="4862" width="22.7109375" style="3" customWidth="1"/>
    <col min="4863" max="4863" width="7.85546875" style="3" bestFit="1" customWidth="1"/>
    <col min="4864" max="4864" width="10.42578125" style="3" bestFit="1" customWidth="1"/>
    <col min="4865" max="4865" width="7" style="3" customWidth="1"/>
    <col min="4866" max="4866" width="10.7109375" style="3" customWidth="1"/>
    <col min="4867" max="4867" width="10.28515625" style="3" customWidth="1"/>
    <col min="4868" max="4868" width="9.140625" style="3"/>
    <col min="4869" max="4869" width="11.42578125" style="3" customWidth="1"/>
    <col min="4870" max="4870" width="13.85546875" style="3" customWidth="1"/>
    <col min="4871" max="5116" width="9.140625" style="3"/>
    <col min="5117" max="5117" width="3.5703125" style="3" bestFit="1" customWidth="1"/>
    <col min="5118" max="5118" width="22.7109375" style="3" customWidth="1"/>
    <col min="5119" max="5119" width="7.85546875" style="3" bestFit="1" customWidth="1"/>
    <col min="5120" max="5120" width="10.42578125" style="3" bestFit="1" customWidth="1"/>
    <col min="5121" max="5121" width="7" style="3" customWidth="1"/>
    <col min="5122" max="5122" width="10.7109375" style="3" customWidth="1"/>
    <col min="5123" max="5123" width="10.28515625" style="3" customWidth="1"/>
    <col min="5124" max="5124" width="9.140625" style="3"/>
    <col min="5125" max="5125" width="11.42578125" style="3" customWidth="1"/>
    <col min="5126" max="5126" width="13.85546875" style="3" customWidth="1"/>
    <col min="5127" max="5372" width="9.140625" style="3"/>
    <col min="5373" max="5373" width="3.5703125" style="3" bestFit="1" customWidth="1"/>
    <col min="5374" max="5374" width="22.7109375" style="3" customWidth="1"/>
    <col min="5375" max="5375" width="7.85546875" style="3" bestFit="1" customWidth="1"/>
    <col min="5376" max="5376" width="10.42578125" style="3" bestFit="1" customWidth="1"/>
    <col min="5377" max="5377" width="7" style="3" customWidth="1"/>
    <col min="5378" max="5378" width="10.7109375" style="3" customWidth="1"/>
    <col min="5379" max="5379" width="10.28515625" style="3" customWidth="1"/>
    <col min="5380" max="5380" width="9.140625" style="3"/>
    <col min="5381" max="5381" width="11.42578125" style="3" customWidth="1"/>
    <col min="5382" max="5382" width="13.85546875" style="3" customWidth="1"/>
    <col min="5383" max="5628" width="9.140625" style="3"/>
    <col min="5629" max="5629" width="3.5703125" style="3" bestFit="1" customWidth="1"/>
    <col min="5630" max="5630" width="22.7109375" style="3" customWidth="1"/>
    <col min="5631" max="5631" width="7.85546875" style="3" bestFit="1" customWidth="1"/>
    <col min="5632" max="5632" width="10.42578125" style="3" bestFit="1" customWidth="1"/>
    <col min="5633" max="5633" width="7" style="3" customWidth="1"/>
    <col min="5634" max="5634" width="10.7109375" style="3" customWidth="1"/>
    <col min="5635" max="5635" width="10.28515625" style="3" customWidth="1"/>
    <col min="5636" max="5636" width="9.140625" style="3"/>
    <col min="5637" max="5637" width="11.42578125" style="3" customWidth="1"/>
    <col min="5638" max="5638" width="13.85546875" style="3" customWidth="1"/>
    <col min="5639" max="5884" width="9.140625" style="3"/>
    <col min="5885" max="5885" width="3.5703125" style="3" bestFit="1" customWidth="1"/>
    <col min="5886" max="5886" width="22.7109375" style="3" customWidth="1"/>
    <col min="5887" max="5887" width="7.85546875" style="3" bestFit="1" customWidth="1"/>
    <col min="5888" max="5888" width="10.42578125" style="3" bestFit="1" customWidth="1"/>
    <col min="5889" max="5889" width="7" style="3" customWidth="1"/>
    <col min="5890" max="5890" width="10.7109375" style="3" customWidth="1"/>
    <col min="5891" max="5891" width="10.28515625" style="3" customWidth="1"/>
    <col min="5892" max="5892" width="9.140625" style="3"/>
    <col min="5893" max="5893" width="11.42578125" style="3" customWidth="1"/>
    <col min="5894" max="5894" width="13.85546875" style="3" customWidth="1"/>
    <col min="5895" max="6140" width="9.140625" style="3"/>
    <col min="6141" max="6141" width="3.5703125" style="3" bestFit="1" customWidth="1"/>
    <col min="6142" max="6142" width="22.7109375" style="3" customWidth="1"/>
    <col min="6143" max="6143" width="7.85546875" style="3" bestFit="1" customWidth="1"/>
    <col min="6144" max="6144" width="10.42578125" style="3" bestFit="1" customWidth="1"/>
    <col min="6145" max="6145" width="7" style="3" customWidth="1"/>
    <col min="6146" max="6146" width="10.7109375" style="3" customWidth="1"/>
    <col min="6147" max="6147" width="10.28515625" style="3" customWidth="1"/>
    <col min="6148" max="6148" width="9.140625" style="3"/>
    <col min="6149" max="6149" width="11.42578125" style="3" customWidth="1"/>
    <col min="6150" max="6150" width="13.85546875" style="3" customWidth="1"/>
    <col min="6151" max="6396" width="9.140625" style="3"/>
    <col min="6397" max="6397" width="3.5703125" style="3" bestFit="1" customWidth="1"/>
    <col min="6398" max="6398" width="22.7109375" style="3" customWidth="1"/>
    <col min="6399" max="6399" width="7.85546875" style="3" bestFit="1" customWidth="1"/>
    <col min="6400" max="6400" width="10.42578125" style="3" bestFit="1" customWidth="1"/>
    <col min="6401" max="6401" width="7" style="3" customWidth="1"/>
    <col min="6402" max="6402" width="10.7109375" style="3" customWidth="1"/>
    <col min="6403" max="6403" width="10.28515625" style="3" customWidth="1"/>
    <col min="6404" max="6404" width="9.140625" style="3"/>
    <col min="6405" max="6405" width="11.42578125" style="3" customWidth="1"/>
    <col min="6406" max="6406" width="13.85546875" style="3" customWidth="1"/>
    <col min="6407" max="6652" width="9.140625" style="3"/>
    <col min="6653" max="6653" width="3.5703125" style="3" bestFit="1" customWidth="1"/>
    <col min="6654" max="6654" width="22.7109375" style="3" customWidth="1"/>
    <col min="6655" max="6655" width="7.85546875" style="3" bestFit="1" customWidth="1"/>
    <col min="6656" max="6656" width="10.42578125" style="3" bestFit="1" customWidth="1"/>
    <col min="6657" max="6657" width="7" style="3" customWidth="1"/>
    <col min="6658" max="6658" width="10.7109375" style="3" customWidth="1"/>
    <col min="6659" max="6659" width="10.28515625" style="3" customWidth="1"/>
    <col min="6660" max="6660" width="9.140625" style="3"/>
    <col min="6661" max="6661" width="11.42578125" style="3" customWidth="1"/>
    <col min="6662" max="6662" width="13.85546875" style="3" customWidth="1"/>
    <col min="6663" max="6908" width="9.140625" style="3"/>
    <col min="6909" max="6909" width="3.5703125" style="3" bestFit="1" customWidth="1"/>
    <col min="6910" max="6910" width="22.7109375" style="3" customWidth="1"/>
    <col min="6911" max="6911" width="7.85546875" style="3" bestFit="1" customWidth="1"/>
    <col min="6912" max="6912" width="10.42578125" style="3" bestFit="1" customWidth="1"/>
    <col min="6913" max="6913" width="7" style="3" customWidth="1"/>
    <col min="6914" max="6914" width="10.7109375" style="3" customWidth="1"/>
    <col min="6915" max="6915" width="10.28515625" style="3" customWidth="1"/>
    <col min="6916" max="6916" width="9.140625" style="3"/>
    <col min="6917" max="6917" width="11.42578125" style="3" customWidth="1"/>
    <col min="6918" max="6918" width="13.85546875" style="3" customWidth="1"/>
    <col min="6919" max="7164" width="9.140625" style="3"/>
    <col min="7165" max="7165" width="3.5703125" style="3" bestFit="1" customWidth="1"/>
    <col min="7166" max="7166" width="22.7109375" style="3" customWidth="1"/>
    <col min="7167" max="7167" width="7.85546875" style="3" bestFit="1" customWidth="1"/>
    <col min="7168" max="7168" width="10.42578125" style="3" bestFit="1" customWidth="1"/>
    <col min="7169" max="7169" width="7" style="3" customWidth="1"/>
    <col min="7170" max="7170" width="10.7109375" style="3" customWidth="1"/>
    <col min="7171" max="7171" width="10.28515625" style="3" customWidth="1"/>
    <col min="7172" max="7172" width="9.140625" style="3"/>
    <col min="7173" max="7173" width="11.42578125" style="3" customWidth="1"/>
    <col min="7174" max="7174" width="13.85546875" style="3" customWidth="1"/>
    <col min="7175" max="7420" width="9.140625" style="3"/>
    <col min="7421" max="7421" width="3.5703125" style="3" bestFit="1" customWidth="1"/>
    <col min="7422" max="7422" width="22.7109375" style="3" customWidth="1"/>
    <col min="7423" max="7423" width="7.85546875" style="3" bestFit="1" customWidth="1"/>
    <col min="7424" max="7424" width="10.42578125" style="3" bestFit="1" customWidth="1"/>
    <col min="7425" max="7425" width="7" style="3" customWidth="1"/>
    <col min="7426" max="7426" width="10.7109375" style="3" customWidth="1"/>
    <col min="7427" max="7427" width="10.28515625" style="3" customWidth="1"/>
    <col min="7428" max="7428" width="9.140625" style="3"/>
    <col min="7429" max="7429" width="11.42578125" style="3" customWidth="1"/>
    <col min="7430" max="7430" width="13.85546875" style="3" customWidth="1"/>
    <col min="7431" max="7676" width="9.140625" style="3"/>
    <col min="7677" max="7677" width="3.5703125" style="3" bestFit="1" customWidth="1"/>
    <col min="7678" max="7678" width="22.7109375" style="3" customWidth="1"/>
    <col min="7679" max="7679" width="7.85546875" style="3" bestFit="1" customWidth="1"/>
    <col min="7680" max="7680" width="10.42578125" style="3" bestFit="1" customWidth="1"/>
    <col min="7681" max="7681" width="7" style="3" customWidth="1"/>
    <col min="7682" max="7682" width="10.7109375" style="3" customWidth="1"/>
    <col min="7683" max="7683" width="10.28515625" style="3" customWidth="1"/>
    <col min="7684" max="7684" width="9.140625" style="3"/>
    <col min="7685" max="7685" width="11.42578125" style="3" customWidth="1"/>
    <col min="7686" max="7686" width="13.85546875" style="3" customWidth="1"/>
    <col min="7687" max="7932" width="9.140625" style="3"/>
    <col min="7933" max="7933" width="3.5703125" style="3" bestFit="1" customWidth="1"/>
    <col min="7934" max="7934" width="22.7109375" style="3" customWidth="1"/>
    <col min="7935" max="7935" width="7.85546875" style="3" bestFit="1" customWidth="1"/>
    <col min="7936" max="7936" width="10.42578125" style="3" bestFit="1" customWidth="1"/>
    <col min="7937" max="7937" width="7" style="3" customWidth="1"/>
    <col min="7938" max="7938" width="10.7109375" style="3" customWidth="1"/>
    <col min="7939" max="7939" width="10.28515625" style="3" customWidth="1"/>
    <col min="7940" max="7940" width="9.140625" style="3"/>
    <col min="7941" max="7941" width="11.42578125" style="3" customWidth="1"/>
    <col min="7942" max="7942" width="13.85546875" style="3" customWidth="1"/>
    <col min="7943" max="8188" width="9.140625" style="3"/>
    <col min="8189" max="8189" width="3.5703125" style="3" bestFit="1" customWidth="1"/>
    <col min="8190" max="8190" width="22.7109375" style="3" customWidth="1"/>
    <col min="8191" max="8191" width="7.85546875" style="3" bestFit="1" customWidth="1"/>
    <col min="8192" max="8192" width="10.42578125" style="3" bestFit="1" customWidth="1"/>
    <col min="8193" max="8193" width="7" style="3" customWidth="1"/>
    <col min="8194" max="8194" width="10.7109375" style="3" customWidth="1"/>
    <col min="8195" max="8195" width="10.28515625" style="3" customWidth="1"/>
    <col min="8196" max="8196" width="9.140625" style="3"/>
    <col min="8197" max="8197" width="11.42578125" style="3" customWidth="1"/>
    <col min="8198" max="8198" width="13.85546875" style="3" customWidth="1"/>
    <col min="8199" max="8444" width="9.140625" style="3"/>
    <col min="8445" max="8445" width="3.5703125" style="3" bestFit="1" customWidth="1"/>
    <col min="8446" max="8446" width="22.7109375" style="3" customWidth="1"/>
    <col min="8447" max="8447" width="7.85546875" style="3" bestFit="1" customWidth="1"/>
    <col min="8448" max="8448" width="10.42578125" style="3" bestFit="1" customWidth="1"/>
    <col min="8449" max="8449" width="7" style="3" customWidth="1"/>
    <col min="8450" max="8450" width="10.7109375" style="3" customWidth="1"/>
    <col min="8451" max="8451" width="10.28515625" style="3" customWidth="1"/>
    <col min="8452" max="8452" width="9.140625" style="3"/>
    <col min="8453" max="8453" width="11.42578125" style="3" customWidth="1"/>
    <col min="8454" max="8454" width="13.85546875" style="3" customWidth="1"/>
    <col min="8455" max="8700" width="9.140625" style="3"/>
    <col min="8701" max="8701" width="3.5703125" style="3" bestFit="1" customWidth="1"/>
    <col min="8702" max="8702" width="22.7109375" style="3" customWidth="1"/>
    <col min="8703" max="8703" width="7.85546875" style="3" bestFit="1" customWidth="1"/>
    <col min="8704" max="8704" width="10.42578125" style="3" bestFit="1" customWidth="1"/>
    <col min="8705" max="8705" width="7" style="3" customWidth="1"/>
    <col min="8706" max="8706" width="10.7109375" style="3" customWidth="1"/>
    <col min="8707" max="8707" width="10.28515625" style="3" customWidth="1"/>
    <col min="8708" max="8708" width="9.140625" style="3"/>
    <col min="8709" max="8709" width="11.42578125" style="3" customWidth="1"/>
    <col min="8710" max="8710" width="13.85546875" style="3" customWidth="1"/>
    <col min="8711" max="8956" width="9.140625" style="3"/>
    <col min="8957" max="8957" width="3.5703125" style="3" bestFit="1" customWidth="1"/>
    <col min="8958" max="8958" width="22.7109375" style="3" customWidth="1"/>
    <col min="8959" max="8959" width="7.85546875" style="3" bestFit="1" customWidth="1"/>
    <col min="8960" max="8960" width="10.42578125" style="3" bestFit="1" customWidth="1"/>
    <col min="8961" max="8961" width="7" style="3" customWidth="1"/>
    <col min="8962" max="8962" width="10.7109375" style="3" customWidth="1"/>
    <col min="8963" max="8963" width="10.28515625" style="3" customWidth="1"/>
    <col min="8964" max="8964" width="9.140625" style="3"/>
    <col min="8965" max="8965" width="11.42578125" style="3" customWidth="1"/>
    <col min="8966" max="8966" width="13.85546875" style="3" customWidth="1"/>
    <col min="8967" max="9212" width="9.140625" style="3"/>
    <col min="9213" max="9213" width="3.5703125" style="3" bestFit="1" customWidth="1"/>
    <col min="9214" max="9214" width="22.7109375" style="3" customWidth="1"/>
    <col min="9215" max="9215" width="7.85546875" style="3" bestFit="1" customWidth="1"/>
    <col min="9216" max="9216" width="10.42578125" style="3" bestFit="1" customWidth="1"/>
    <col min="9217" max="9217" width="7" style="3" customWidth="1"/>
    <col min="9218" max="9218" width="10.7109375" style="3" customWidth="1"/>
    <col min="9219" max="9219" width="10.28515625" style="3" customWidth="1"/>
    <col min="9220" max="9220" width="9.140625" style="3"/>
    <col min="9221" max="9221" width="11.42578125" style="3" customWidth="1"/>
    <col min="9222" max="9222" width="13.85546875" style="3" customWidth="1"/>
    <col min="9223" max="9468" width="9.140625" style="3"/>
    <col min="9469" max="9469" width="3.5703125" style="3" bestFit="1" customWidth="1"/>
    <col min="9470" max="9470" width="22.7109375" style="3" customWidth="1"/>
    <col min="9471" max="9471" width="7.85546875" style="3" bestFit="1" customWidth="1"/>
    <col min="9472" max="9472" width="10.42578125" style="3" bestFit="1" customWidth="1"/>
    <col min="9473" max="9473" width="7" style="3" customWidth="1"/>
    <col min="9474" max="9474" width="10.7109375" style="3" customWidth="1"/>
    <col min="9475" max="9475" width="10.28515625" style="3" customWidth="1"/>
    <col min="9476" max="9476" width="9.140625" style="3"/>
    <col min="9477" max="9477" width="11.42578125" style="3" customWidth="1"/>
    <col min="9478" max="9478" width="13.85546875" style="3" customWidth="1"/>
    <col min="9479" max="9724" width="9.140625" style="3"/>
    <col min="9725" max="9725" width="3.5703125" style="3" bestFit="1" customWidth="1"/>
    <col min="9726" max="9726" width="22.7109375" style="3" customWidth="1"/>
    <col min="9727" max="9727" width="7.85546875" style="3" bestFit="1" customWidth="1"/>
    <col min="9728" max="9728" width="10.42578125" style="3" bestFit="1" customWidth="1"/>
    <col min="9729" max="9729" width="7" style="3" customWidth="1"/>
    <col min="9730" max="9730" width="10.7109375" style="3" customWidth="1"/>
    <col min="9731" max="9731" width="10.28515625" style="3" customWidth="1"/>
    <col min="9732" max="9732" width="9.140625" style="3"/>
    <col min="9733" max="9733" width="11.42578125" style="3" customWidth="1"/>
    <col min="9734" max="9734" width="13.85546875" style="3" customWidth="1"/>
    <col min="9735" max="9980" width="9.140625" style="3"/>
    <col min="9981" max="9981" width="3.5703125" style="3" bestFit="1" customWidth="1"/>
    <col min="9982" max="9982" width="22.7109375" style="3" customWidth="1"/>
    <col min="9983" max="9983" width="7.85546875" style="3" bestFit="1" customWidth="1"/>
    <col min="9984" max="9984" width="10.42578125" style="3" bestFit="1" customWidth="1"/>
    <col min="9985" max="9985" width="7" style="3" customWidth="1"/>
    <col min="9986" max="9986" width="10.7109375" style="3" customWidth="1"/>
    <col min="9987" max="9987" width="10.28515625" style="3" customWidth="1"/>
    <col min="9988" max="9988" width="9.140625" style="3"/>
    <col min="9989" max="9989" width="11.42578125" style="3" customWidth="1"/>
    <col min="9990" max="9990" width="13.85546875" style="3" customWidth="1"/>
    <col min="9991" max="10236" width="9.140625" style="3"/>
    <col min="10237" max="10237" width="3.5703125" style="3" bestFit="1" customWidth="1"/>
    <col min="10238" max="10238" width="22.7109375" style="3" customWidth="1"/>
    <col min="10239" max="10239" width="7.85546875" style="3" bestFit="1" customWidth="1"/>
    <col min="10240" max="10240" width="10.42578125" style="3" bestFit="1" customWidth="1"/>
    <col min="10241" max="10241" width="7" style="3" customWidth="1"/>
    <col min="10242" max="10242" width="10.7109375" style="3" customWidth="1"/>
    <col min="10243" max="10243" width="10.28515625" style="3" customWidth="1"/>
    <col min="10244" max="10244" width="9.140625" style="3"/>
    <col min="10245" max="10245" width="11.42578125" style="3" customWidth="1"/>
    <col min="10246" max="10246" width="13.85546875" style="3" customWidth="1"/>
    <col min="10247" max="10492" width="9.140625" style="3"/>
    <col min="10493" max="10493" width="3.5703125" style="3" bestFit="1" customWidth="1"/>
    <col min="10494" max="10494" width="22.7109375" style="3" customWidth="1"/>
    <col min="10495" max="10495" width="7.85546875" style="3" bestFit="1" customWidth="1"/>
    <col min="10496" max="10496" width="10.42578125" style="3" bestFit="1" customWidth="1"/>
    <col min="10497" max="10497" width="7" style="3" customWidth="1"/>
    <col min="10498" max="10498" width="10.7109375" style="3" customWidth="1"/>
    <col min="10499" max="10499" width="10.28515625" style="3" customWidth="1"/>
    <col min="10500" max="10500" width="9.140625" style="3"/>
    <col min="10501" max="10501" width="11.42578125" style="3" customWidth="1"/>
    <col min="10502" max="10502" width="13.85546875" style="3" customWidth="1"/>
    <col min="10503" max="10748" width="9.140625" style="3"/>
    <col min="10749" max="10749" width="3.5703125" style="3" bestFit="1" customWidth="1"/>
    <col min="10750" max="10750" width="22.7109375" style="3" customWidth="1"/>
    <col min="10751" max="10751" width="7.85546875" style="3" bestFit="1" customWidth="1"/>
    <col min="10752" max="10752" width="10.42578125" style="3" bestFit="1" customWidth="1"/>
    <col min="10753" max="10753" width="7" style="3" customWidth="1"/>
    <col min="10754" max="10754" width="10.7109375" style="3" customWidth="1"/>
    <col min="10755" max="10755" width="10.28515625" style="3" customWidth="1"/>
    <col min="10756" max="10756" width="9.140625" style="3"/>
    <col min="10757" max="10757" width="11.42578125" style="3" customWidth="1"/>
    <col min="10758" max="10758" width="13.85546875" style="3" customWidth="1"/>
    <col min="10759" max="11004" width="9.140625" style="3"/>
    <col min="11005" max="11005" width="3.5703125" style="3" bestFit="1" customWidth="1"/>
    <col min="11006" max="11006" width="22.7109375" style="3" customWidth="1"/>
    <col min="11007" max="11007" width="7.85546875" style="3" bestFit="1" customWidth="1"/>
    <col min="11008" max="11008" width="10.42578125" style="3" bestFit="1" customWidth="1"/>
    <col min="11009" max="11009" width="7" style="3" customWidth="1"/>
    <col min="11010" max="11010" width="10.7109375" style="3" customWidth="1"/>
    <col min="11011" max="11011" width="10.28515625" style="3" customWidth="1"/>
    <col min="11012" max="11012" width="9.140625" style="3"/>
    <col min="11013" max="11013" width="11.42578125" style="3" customWidth="1"/>
    <col min="11014" max="11014" width="13.85546875" style="3" customWidth="1"/>
    <col min="11015" max="11260" width="9.140625" style="3"/>
    <col min="11261" max="11261" width="3.5703125" style="3" bestFit="1" customWidth="1"/>
    <col min="11262" max="11262" width="22.7109375" style="3" customWidth="1"/>
    <col min="11263" max="11263" width="7.85546875" style="3" bestFit="1" customWidth="1"/>
    <col min="11264" max="11264" width="10.42578125" style="3" bestFit="1" customWidth="1"/>
    <col min="11265" max="11265" width="7" style="3" customWidth="1"/>
    <col min="11266" max="11266" width="10.7109375" style="3" customWidth="1"/>
    <col min="11267" max="11267" width="10.28515625" style="3" customWidth="1"/>
    <col min="11268" max="11268" width="9.140625" style="3"/>
    <col min="11269" max="11269" width="11.42578125" style="3" customWidth="1"/>
    <col min="11270" max="11270" width="13.85546875" style="3" customWidth="1"/>
    <col min="11271" max="11516" width="9.140625" style="3"/>
    <col min="11517" max="11517" width="3.5703125" style="3" bestFit="1" customWidth="1"/>
    <col min="11518" max="11518" width="22.7109375" style="3" customWidth="1"/>
    <col min="11519" max="11519" width="7.85546875" style="3" bestFit="1" customWidth="1"/>
    <col min="11520" max="11520" width="10.42578125" style="3" bestFit="1" customWidth="1"/>
    <col min="11521" max="11521" width="7" style="3" customWidth="1"/>
    <col min="11522" max="11522" width="10.7109375" style="3" customWidth="1"/>
    <col min="11523" max="11523" width="10.28515625" style="3" customWidth="1"/>
    <col min="11524" max="11524" width="9.140625" style="3"/>
    <col min="11525" max="11525" width="11.42578125" style="3" customWidth="1"/>
    <col min="11526" max="11526" width="13.85546875" style="3" customWidth="1"/>
    <col min="11527" max="11772" width="9.140625" style="3"/>
    <col min="11773" max="11773" width="3.5703125" style="3" bestFit="1" customWidth="1"/>
    <col min="11774" max="11774" width="22.7109375" style="3" customWidth="1"/>
    <col min="11775" max="11775" width="7.85546875" style="3" bestFit="1" customWidth="1"/>
    <col min="11776" max="11776" width="10.42578125" style="3" bestFit="1" customWidth="1"/>
    <col min="11777" max="11777" width="7" style="3" customWidth="1"/>
    <col min="11778" max="11778" width="10.7109375" style="3" customWidth="1"/>
    <col min="11779" max="11779" width="10.28515625" style="3" customWidth="1"/>
    <col min="11780" max="11780" width="9.140625" style="3"/>
    <col min="11781" max="11781" width="11.42578125" style="3" customWidth="1"/>
    <col min="11782" max="11782" width="13.85546875" style="3" customWidth="1"/>
    <col min="11783" max="12028" width="9.140625" style="3"/>
    <col min="12029" max="12029" width="3.5703125" style="3" bestFit="1" customWidth="1"/>
    <col min="12030" max="12030" width="22.7109375" style="3" customWidth="1"/>
    <col min="12031" max="12031" width="7.85546875" style="3" bestFit="1" customWidth="1"/>
    <col min="12032" max="12032" width="10.42578125" style="3" bestFit="1" customWidth="1"/>
    <col min="12033" max="12033" width="7" style="3" customWidth="1"/>
    <col min="12034" max="12034" width="10.7109375" style="3" customWidth="1"/>
    <col min="12035" max="12035" width="10.28515625" style="3" customWidth="1"/>
    <col min="12036" max="12036" width="9.140625" style="3"/>
    <col min="12037" max="12037" width="11.42578125" style="3" customWidth="1"/>
    <col min="12038" max="12038" width="13.85546875" style="3" customWidth="1"/>
    <col min="12039" max="12284" width="9.140625" style="3"/>
    <col min="12285" max="12285" width="3.5703125" style="3" bestFit="1" customWidth="1"/>
    <col min="12286" max="12286" width="22.7109375" style="3" customWidth="1"/>
    <col min="12287" max="12287" width="7.85546875" style="3" bestFit="1" customWidth="1"/>
    <col min="12288" max="12288" width="10.42578125" style="3" bestFit="1" customWidth="1"/>
    <col min="12289" max="12289" width="7" style="3" customWidth="1"/>
    <col min="12290" max="12290" width="10.7109375" style="3" customWidth="1"/>
    <col min="12291" max="12291" width="10.28515625" style="3" customWidth="1"/>
    <col min="12292" max="12292" width="9.140625" style="3"/>
    <col min="12293" max="12293" width="11.42578125" style="3" customWidth="1"/>
    <col min="12294" max="12294" width="13.85546875" style="3" customWidth="1"/>
    <col min="12295" max="12540" width="9.140625" style="3"/>
    <col min="12541" max="12541" width="3.5703125" style="3" bestFit="1" customWidth="1"/>
    <col min="12542" max="12542" width="22.7109375" style="3" customWidth="1"/>
    <col min="12543" max="12543" width="7.85546875" style="3" bestFit="1" customWidth="1"/>
    <col min="12544" max="12544" width="10.42578125" style="3" bestFit="1" customWidth="1"/>
    <col min="12545" max="12545" width="7" style="3" customWidth="1"/>
    <col min="12546" max="12546" width="10.7109375" style="3" customWidth="1"/>
    <col min="12547" max="12547" width="10.28515625" style="3" customWidth="1"/>
    <col min="12548" max="12548" width="9.140625" style="3"/>
    <col min="12549" max="12549" width="11.42578125" style="3" customWidth="1"/>
    <col min="12550" max="12550" width="13.85546875" style="3" customWidth="1"/>
    <col min="12551" max="12796" width="9.140625" style="3"/>
    <col min="12797" max="12797" width="3.5703125" style="3" bestFit="1" customWidth="1"/>
    <col min="12798" max="12798" width="22.7109375" style="3" customWidth="1"/>
    <col min="12799" max="12799" width="7.85546875" style="3" bestFit="1" customWidth="1"/>
    <col min="12800" max="12800" width="10.42578125" style="3" bestFit="1" customWidth="1"/>
    <col min="12801" max="12801" width="7" style="3" customWidth="1"/>
    <col min="12802" max="12802" width="10.7109375" style="3" customWidth="1"/>
    <col min="12803" max="12803" width="10.28515625" style="3" customWidth="1"/>
    <col min="12804" max="12804" width="9.140625" style="3"/>
    <col min="12805" max="12805" width="11.42578125" style="3" customWidth="1"/>
    <col min="12806" max="12806" width="13.85546875" style="3" customWidth="1"/>
    <col min="12807" max="13052" width="9.140625" style="3"/>
    <col min="13053" max="13053" width="3.5703125" style="3" bestFit="1" customWidth="1"/>
    <col min="13054" max="13054" width="22.7109375" style="3" customWidth="1"/>
    <col min="13055" max="13055" width="7.85546875" style="3" bestFit="1" customWidth="1"/>
    <col min="13056" max="13056" width="10.42578125" style="3" bestFit="1" customWidth="1"/>
    <col min="13057" max="13057" width="7" style="3" customWidth="1"/>
    <col min="13058" max="13058" width="10.7109375" style="3" customWidth="1"/>
    <col min="13059" max="13059" width="10.28515625" style="3" customWidth="1"/>
    <col min="13060" max="13060" width="9.140625" style="3"/>
    <col min="13061" max="13061" width="11.42578125" style="3" customWidth="1"/>
    <col min="13062" max="13062" width="13.85546875" style="3" customWidth="1"/>
    <col min="13063" max="13308" width="9.140625" style="3"/>
    <col min="13309" max="13309" width="3.5703125" style="3" bestFit="1" customWidth="1"/>
    <col min="13310" max="13310" width="22.7109375" style="3" customWidth="1"/>
    <col min="13311" max="13311" width="7.85546875" style="3" bestFit="1" customWidth="1"/>
    <col min="13312" max="13312" width="10.42578125" style="3" bestFit="1" customWidth="1"/>
    <col min="13313" max="13313" width="7" style="3" customWidth="1"/>
    <col min="13314" max="13314" width="10.7109375" style="3" customWidth="1"/>
    <col min="13315" max="13315" width="10.28515625" style="3" customWidth="1"/>
    <col min="13316" max="13316" width="9.140625" style="3"/>
    <col min="13317" max="13317" width="11.42578125" style="3" customWidth="1"/>
    <col min="13318" max="13318" width="13.85546875" style="3" customWidth="1"/>
    <col min="13319" max="13564" width="9.140625" style="3"/>
    <col min="13565" max="13565" width="3.5703125" style="3" bestFit="1" customWidth="1"/>
    <col min="13566" max="13566" width="22.7109375" style="3" customWidth="1"/>
    <col min="13567" max="13567" width="7.85546875" style="3" bestFit="1" customWidth="1"/>
    <col min="13568" max="13568" width="10.42578125" style="3" bestFit="1" customWidth="1"/>
    <col min="13569" max="13569" width="7" style="3" customWidth="1"/>
    <col min="13570" max="13570" width="10.7109375" style="3" customWidth="1"/>
    <col min="13571" max="13571" width="10.28515625" style="3" customWidth="1"/>
    <col min="13572" max="13572" width="9.140625" style="3"/>
    <col min="13573" max="13573" width="11.42578125" style="3" customWidth="1"/>
    <col min="13574" max="13574" width="13.85546875" style="3" customWidth="1"/>
    <col min="13575" max="13820" width="9.140625" style="3"/>
    <col min="13821" max="13821" width="3.5703125" style="3" bestFit="1" customWidth="1"/>
    <col min="13822" max="13822" width="22.7109375" style="3" customWidth="1"/>
    <col min="13823" max="13823" width="7.85546875" style="3" bestFit="1" customWidth="1"/>
    <col min="13824" max="13824" width="10.42578125" style="3" bestFit="1" customWidth="1"/>
    <col min="13825" max="13825" width="7" style="3" customWidth="1"/>
    <col min="13826" max="13826" width="10.7109375" style="3" customWidth="1"/>
    <col min="13827" max="13827" width="10.28515625" style="3" customWidth="1"/>
    <col min="13828" max="13828" width="9.140625" style="3"/>
    <col min="13829" max="13829" width="11.42578125" style="3" customWidth="1"/>
    <col min="13830" max="13830" width="13.85546875" style="3" customWidth="1"/>
    <col min="13831" max="14076" width="9.140625" style="3"/>
    <col min="14077" max="14077" width="3.5703125" style="3" bestFit="1" customWidth="1"/>
    <col min="14078" max="14078" width="22.7109375" style="3" customWidth="1"/>
    <col min="14079" max="14079" width="7.85546875" style="3" bestFit="1" customWidth="1"/>
    <col min="14080" max="14080" width="10.42578125" style="3" bestFit="1" customWidth="1"/>
    <col min="14081" max="14081" width="7" style="3" customWidth="1"/>
    <col min="14082" max="14082" width="10.7109375" style="3" customWidth="1"/>
    <col min="14083" max="14083" width="10.28515625" style="3" customWidth="1"/>
    <col min="14084" max="14084" width="9.140625" style="3"/>
    <col min="14085" max="14085" width="11.42578125" style="3" customWidth="1"/>
    <col min="14086" max="14086" width="13.85546875" style="3" customWidth="1"/>
    <col min="14087" max="14332" width="9.140625" style="3"/>
    <col min="14333" max="14333" width="3.5703125" style="3" bestFit="1" customWidth="1"/>
    <col min="14334" max="14334" width="22.7109375" style="3" customWidth="1"/>
    <col min="14335" max="14335" width="7.85546875" style="3" bestFit="1" customWidth="1"/>
    <col min="14336" max="14336" width="10.42578125" style="3" bestFit="1" customWidth="1"/>
    <col min="14337" max="14337" width="7" style="3" customWidth="1"/>
    <col min="14338" max="14338" width="10.7109375" style="3" customWidth="1"/>
    <col min="14339" max="14339" width="10.28515625" style="3" customWidth="1"/>
    <col min="14340" max="14340" width="9.140625" style="3"/>
    <col min="14341" max="14341" width="11.42578125" style="3" customWidth="1"/>
    <col min="14342" max="14342" width="13.85546875" style="3" customWidth="1"/>
    <col min="14343" max="14588" width="9.140625" style="3"/>
    <col min="14589" max="14589" width="3.5703125" style="3" bestFit="1" customWidth="1"/>
    <col min="14590" max="14590" width="22.7109375" style="3" customWidth="1"/>
    <col min="14591" max="14591" width="7.85546875" style="3" bestFit="1" customWidth="1"/>
    <col min="14592" max="14592" width="10.42578125" style="3" bestFit="1" customWidth="1"/>
    <col min="14593" max="14593" width="7" style="3" customWidth="1"/>
    <col min="14594" max="14594" width="10.7109375" style="3" customWidth="1"/>
    <col min="14595" max="14595" width="10.28515625" style="3" customWidth="1"/>
    <col min="14596" max="14596" width="9.140625" style="3"/>
    <col min="14597" max="14597" width="11.42578125" style="3" customWidth="1"/>
    <col min="14598" max="14598" width="13.85546875" style="3" customWidth="1"/>
    <col min="14599" max="14844" width="9.140625" style="3"/>
    <col min="14845" max="14845" width="3.5703125" style="3" bestFit="1" customWidth="1"/>
    <col min="14846" max="14846" width="22.7109375" style="3" customWidth="1"/>
    <col min="14847" max="14847" width="7.85546875" style="3" bestFit="1" customWidth="1"/>
    <col min="14848" max="14848" width="10.42578125" style="3" bestFit="1" customWidth="1"/>
    <col min="14849" max="14849" width="7" style="3" customWidth="1"/>
    <col min="14850" max="14850" width="10.7109375" style="3" customWidth="1"/>
    <col min="14851" max="14851" width="10.28515625" style="3" customWidth="1"/>
    <col min="14852" max="14852" width="9.140625" style="3"/>
    <col min="14853" max="14853" width="11.42578125" style="3" customWidth="1"/>
    <col min="14854" max="14854" width="13.85546875" style="3" customWidth="1"/>
    <col min="14855" max="15100" width="9.140625" style="3"/>
    <col min="15101" max="15101" width="3.5703125" style="3" bestFit="1" customWidth="1"/>
    <col min="15102" max="15102" width="22.7109375" style="3" customWidth="1"/>
    <col min="15103" max="15103" width="7.85546875" style="3" bestFit="1" customWidth="1"/>
    <col min="15104" max="15104" width="10.42578125" style="3" bestFit="1" customWidth="1"/>
    <col min="15105" max="15105" width="7" style="3" customWidth="1"/>
    <col min="15106" max="15106" width="10.7109375" style="3" customWidth="1"/>
    <col min="15107" max="15107" width="10.28515625" style="3" customWidth="1"/>
    <col min="15108" max="15108" width="9.140625" style="3"/>
    <col min="15109" max="15109" width="11.42578125" style="3" customWidth="1"/>
    <col min="15110" max="15110" width="13.85546875" style="3" customWidth="1"/>
    <col min="15111" max="15356" width="9.140625" style="3"/>
    <col min="15357" max="15357" width="3.5703125" style="3" bestFit="1" customWidth="1"/>
    <col min="15358" max="15358" width="22.7109375" style="3" customWidth="1"/>
    <col min="15359" max="15359" width="7.85546875" style="3" bestFit="1" customWidth="1"/>
    <col min="15360" max="15360" width="10.42578125" style="3" bestFit="1" customWidth="1"/>
    <col min="15361" max="15361" width="7" style="3" customWidth="1"/>
    <col min="15362" max="15362" width="10.7109375" style="3" customWidth="1"/>
    <col min="15363" max="15363" width="10.28515625" style="3" customWidth="1"/>
    <col min="15364" max="15364" width="9.140625" style="3"/>
    <col min="15365" max="15365" width="11.42578125" style="3" customWidth="1"/>
    <col min="15366" max="15366" width="13.85546875" style="3" customWidth="1"/>
    <col min="15367" max="15612" width="9.140625" style="3"/>
    <col min="15613" max="15613" width="3.5703125" style="3" bestFit="1" customWidth="1"/>
    <col min="15614" max="15614" width="22.7109375" style="3" customWidth="1"/>
    <col min="15615" max="15615" width="7.85546875" style="3" bestFit="1" customWidth="1"/>
    <col min="15616" max="15616" width="10.42578125" style="3" bestFit="1" customWidth="1"/>
    <col min="15617" max="15617" width="7" style="3" customWidth="1"/>
    <col min="15618" max="15618" width="10.7109375" style="3" customWidth="1"/>
    <col min="15619" max="15619" width="10.28515625" style="3" customWidth="1"/>
    <col min="15620" max="15620" width="9.140625" style="3"/>
    <col min="15621" max="15621" width="11.42578125" style="3" customWidth="1"/>
    <col min="15622" max="15622" width="13.85546875" style="3" customWidth="1"/>
    <col min="15623" max="15868" width="9.140625" style="3"/>
    <col min="15869" max="15869" width="3.5703125" style="3" bestFit="1" customWidth="1"/>
    <col min="15870" max="15870" width="22.7109375" style="3" customWidth="1"/>
    <col min="15871" max="15871" width="7.85546875" style="3" bestFit="1" customWidth="1"/>
    <col min="15872" max="15872" width="10.42578125" style="3" bestFit="1" customWidth="1"/>
    <col min="15873" max="15873" width="7" style="3" customWidth="1"/>
    <col min="15874" max="15874" width="10.7109375" style="3" customWidth="1"/>
    <col min="15875" max="15875" width="10.28515625" style="3" customWidth="1"/>
    <col min="15876" max="15876" width="9.140625" style="3"/>
    <col min="15877" max="15877" width="11.42578125" style="3" customWidth="1"/>
    <col min="15878" max="15878" width="13.85546875" style="3" customWidth="1"/>
    <col min="15879" max="16124" width="9.140625" style="3"/>
    <col min="16125" max="16125" width="3.5703125" style="3" bestFit="1" customWidth="1"/>
    <col min="16126" max="16126" width="22.7109375" style="3" customWidth="1"/>
    <col min="16127" max="16127" width="7.85546875" style="3" bestFit="1" customWidth="1"/>
    <col min="16128" max="16128" width="10.42578125" style="3" bestFit="1" customWidth="1"/>
    <col min="16129" max="16129" width="7" style="3" customWidth="1"/>
    <col min="16130" max="16130" width="10.7109375" style="3" customWidth="1"/>
    <col min="16131" max="16131" width="10.28515625" style="3" customWidth="1"/>
    <col min="16132" max="16132" width="9.140625" style="3"/>
    <col min="16133" max="16133" width="11.42578125" style="3" customWidth="1"/>
    <col min="16134" max="16134" width="13.85546875" style="3" customWidth="1"/>
    <col min="16135" max="16384" width="9.140625" style="3"/>
  </cols>
  <sheetData>
    <row r="1" spans="1:6" ht="13.5" customHeight="1" thickBot="1">
      <c r="B1" s="2" t="s">
        <v>278</v>
      </c>
      <c r="D1" s="470" t="s">
        <v>1</v>
      </c>
      <c r="E1" s="471"/>
      <c r="F1" s="81">
        <v>0</v>
      </c>
    </row>
    <row r="2" spans="1:6" ht="13.5" customHeight="1" thickBot="1">
      <c r="D2" s="2"/>
      <c r="E2" s="127"/>
      <c r="F2" s="127"/>
    </row>
    <row r="3" spans="1:6" ht="11.25" customHeight="1">
      <c r="A3" s="472" t="s">
        <v>276</v>
      </c>
      <c r="B3" s="473"/>
      <c r="C3" s="473"/>
      <c r="D3" s="473"/>
      <c r="E3" s="465" t="s">
        <v>2</v>
      </c>
      <c r="F3" s="466"/>
    </row>
    <row r="4" spans="1:6" ht="51.75" thickBot="1">
      <c r="A4" s="372" t="s">
        <v>716</v>
      </c>
      <c r="B4" s="84" t="s">
        <v>3</v>
      </c>
      <c r="C4" s="84" t="s">
        <v>4</v>
      </c>
      <c r="D4" s="84" t="s">
        <v>5</v>
      </c>
      <c r="E4" s="85" t="s">
        <v>6</v>
      </c>
      <c r="F4" s="86" t="s">
        <v>7</v>
      </c>
    </row>
    <row r="5" spans="1:6" ht="13.5" thickTop="1">
      <c r="A5" s="184">
        <v>1</v>
      </c>
      <c r="B5" s="96" t="s">
        <v>8</v>
      </c>
      <c r="C5" s="185" t="s">
        <v>70</v>
      </c>
      <c r="D5" s="88">
        <v>1.23</v>
      </c>
      <c r="E5" s="186">
        <v>2.16</v>
      </c>
      <c r="F5" s="187">
        <f>(E5*D5)</f>
        <v>2.6568000000000001</v>
      </c>
    </row>
    <row r="6" spans="1:6">
      <c r="A6" s="184"/>
      <c r="B6" s="91" t="s">
        <v>69</v>
      </c>
      <c r="C6" s="185"/>
      <c r="D6" s="93">
        <v>0.34</v>
      </c>
      <c r="E6" s="186">
        <v>100</v>
      </c>
      <c r="F6" s="187">
        <f>(E6*D6)</f>
        <v>34</v>
      </c>
    </row>
    <row r="7" spans="1:6">
      <c r="A7" s="17">
        <v>2</v>
      </c>
      <c r="B7" s="95" t="s">
        <v>11</v>
      </c>
      <c r="C7" s="185" t="s">
        <v>70</v>
      </c>
      <c r="D7" s="88">
        <v>1.23</v>
      </c>
      <c r="E7" s="186">
        <v>1.1599999999999999</v>
      </c>
      <c r="F7" s="187">
        <f t="shared" ref="F7:F18" si="0">(E7*D7)</f>
        <v>1.4267999999999998</v>
      </c>
    </row>
    <row r="8" spans="1:6">
      <c r="A8" s="17">
        <v>3</v>
      </c>
      <c r="B8" s="95" t="s">
        <v>279</v>
      </c>
      <c r="C8" s="133" t="s">
        <v>280</v>
      </c>
      <c r="D8" s="88">
        <v>1.23</v>
      </c>
      <c r="E8" s="134">
        <v>10.56</v>
      </c>
      <c r="F8" s="187">
        <f t="shared" si="0"/>
        <v>12.988800000000001</v>
      </c>
    </row>
    <row r="9" spans="1:6">
      <c r="A9" s="17">
        <v>4</v>
      </c>
      <c r="B9" s="96" t="s">
        <v>8</v>
      </c>
      <c r="C9" s="133" t="s">
        <v>45</v>
      </c>
      <c r="D9" s="88">
        <v>1.23</v>
      </c>
      <c r="E9" s="134">
        <v>2.16</v>
      </c>
      <c r="F9" s="187">
        <f t="shared" si="0"/>
        <v>2.6568000000000001</v>
      </c>
    </row>
    <row r="10" spans="1:6">
      <c r="A10" s="17"/>
      <c r="B10" s="91" t="s">
        <v>19</v>
      </c>
      <c r="C10" s="133"/>
      <c r="D10" s="97">
        <v>0.26</v>
      </c>
      <c r="E10" s="134">
        <v>100</v>
      </c>
      <c r="F10" s="187">
        <f t="shared" si="0"/>
        <v>26</v>
      </c>
    </row>
    <row r="11" spans="1:6">
      <c r="A11" s="17">
        <v>5</v>
      </c>
      <c r="B11" s="95" t="s">
        <v>11</v>
      </c>
      <c r="C11" s="133" t="s">
        <v>45</v>
      </c>
      <c r="D11" s="88">
        <v>1.23</v>
      </c>
      <c r="E11" s="134">
        <v>1.1599999999999999</v>
      </c>
      <c r="F11" s="187">
        <f t="shared" si="0"/>
        <v>1.4267999999999998</v>
      </c>
    </row>
    <row r="12" spans="1:6">
      <c r="A12" s="17">
        <v>6</v>
      </c>
      <c r="B12" s="96" t="s">
        <v>47</v>
      </c>
      <c r="C12" s="133" t="s">
        <v>281</v>
      </c>
      <c r="D12" s="88">
        <v>1.23</v>
      </c>
      <c r="E12" s="209">
        <v>1.56</v>
      </c>
      <c r="F12" s="187">
        <f t="shared" si="0"/>
        <v>1.9188000000000001</v>
      </c>
    </row>
    <row r="13" spans="1:6">
      <c r="A13" s="17">
        <v>7</v>
      </c>
      <c r="B13" s="96" t="s">
        <v>48</v>
      </c>
      <c r="C13" s="133" t="s">
        <v>281</v>
      </c>
      <c r="D13" s="88">
        <v>1.23</v>
      </c>
      <c r="E13" s="134">
        <v>1.84</v>
      </c>
      <c r="F13" s="187">
        <f t="shared" si="0"/>
        <v>2.2631999999999999</v>
      </c>
    </row>
    <row r="14" spans="1:6">
      <c r="A14" s="17"/>
      <c r="B14" s="96" t="s">
        <v>282</v>
      </c>
      <c r="C14" s="133"/>
      <c r="D14" s="104">
        <v>10.01</v>
      </c>
      <c r="E14" s="134">
        <v>6</v>
      </c>
      <c r="F14" s="187">
        <f t="shared" si="0"/>
        <v>60.06</v>
      </c>
    </row>
    <row r="15" spans="1:6">
      <c r="A15" s="17"/>
      <c r="B15" s="96" t="s">
        <v>283</v>
      </c>
      <c r="C15" s="133" t="s">
        <v>18</v>
      </c>
      <c r="D15" s="104">
        <v>115.87</v>
      </c>
      <c r="E15" s="134">
        <v>0.2</v>
      </c>
      <c r="F15" s="187">
        <f t="shared" si="0"/>
        <v>23.174000000000003</v>
      </c>
    </row>
    <row r="16" spans="1:6">
      <c r="A16" s="17"/>
      <c r="B16" s="96" t="s">
        <v>284</v>
      </c>
      <c r="C16" s="136"/>
      <c r="D16" s="88">
        <v>9.19</v>
      </c>
      <c r="E16" s="134">
        <v>1.5</v>
      </c>
      <c r="F16" s="187">
        <f t="shared" si="0"/>
        <v>13.785</v>
      </c>
    </row>
    <row r="17" spans="1:7">
      <c r="A17" s="17"/>
      <c r="B17" s="96" t="s">
        <v>285</v>
      </c>
      <c r="C17" s="136" t="s">
        <v>45</v>
      </c>
      <c r="D17" s="88">
        <v>6.46</v>
      </c>
      <c r="E17" s="134">
        <v>2.5</v>
      </c>
      <c r="F17" s="187">
        <f t="shared" si="0"/>
        <v>16.149999999999999</v>
      </c>
    </row>
    <row r="18" spans="1:7" ht="13.5" thickBot="1">
      <c r="A18" s="30">
        <v>8</v>
      </c>
      <c r="B18" s="105" t="s">
        <v>286</v>
      </c>
      <c r="C18" s="140" t="s">
        <v>274</v>
      </c>
      <c r="D18" s="107">
        <v>1.23</v>
      </c>
      <c r="E18" s="116">
        <v>8</v>
      </c>
      <c r="F18" s="109">
        <f t="shared" si="0"/>
        <v>9.84</v>
      </c>
    </row>
    <row r="19" spans="1:7">
      <c r="A19" s="454" t="s">
        <v>30</v>
      </c>
      <c r="B19" s="455"/>
      <c r="C19" s="110"/>
      <c r="D19" s="202"/>
      <c r="E19" s="219"/>
      <c r="F19" s="204">
        <f>SUM(F5:F18)</f>
        <v>208.34700000000001</v>
      </c>
      <c r="G19" s="240">
        <f>F1*F19</f>
        <v>0</v>
      </c>
    </row>
    <row r="20" spans="1:7" ht="13.5" thickBot="1">
      <c r="A20" s="467" t="s">
        <v>31</v>
      </c>
      <c r="B20" s="468"/>
      <c r="C20" s="469"/>
      <c r="D20" s="105"/>
      <c r="E20" s="205">
        <f>E5+E7+E8+E9+E11+E12+E13+E18</f>
        <v>28.599999999999998</v>
      </c>
      <c r="F20" s="206"/>
      <c r="G20" s="118" t="s">
        <v>277</v>
      </c>
    </row>
    <row r="21" spans="1:7" ht="13.5" thickBot="1"/>
    <row r="22" spans="1:7" ht="12" customHeight="1">
      <c r="A22" s="456" t="s">
        <v>32</v>
      </c>
      <c r="B22" s="457"/>
      <c r="C22" s="457"/>
      <c r="D22" s="457"/>
      <c r="E22" s="457"/>
      <c r="F22" s="458"/>
    </row>
    <row r="23" spans="1:7" ht="15" customHeight="1">
      <c r="A23" s="459"/>
      <c r="B23" s="460"/>
      <c r="C23" s="460"/>
      <c r="D23" s="460"/>
      <c r="E23" s="460"/>
      <c r="F23" s="461"/>
    </row>
    <row r="24" spans="1:7" ht="15" customHeight="1" thickBot="1">
      <c r="A24" s="462"/>
      <c r="B24" s="463"/>
      <c r="C24" s="463"/>
      <c r="D24" s="463"/>
      <c r="E24" s="463"/>
      <c r="F24" s="464"/>
    </row>
    <row r="25" spans="1:7" ht="13.5" thickBot="1"/>
    <row r="26" spans="1:7" ht="13.5" customHeight="1" thickBot="1">
      <c r="B26" s="2" t="s">
        <v>287</v>
      </c>
      <c r="D26" s="470" t="s">
        <v>1</v>
      </c>
      <c r="E26" s="471"/>
      <c r="F26" s="81">
        <v>0</v>
      </c>
    </row>
    <row r="27" spans="1:7" ht="13.5" customHeight="1" thickBot="1">
      <c r="D27" s="2"/>
      <c r="E27" s="127"/>
      <c r="F27" s="127"/>
    </row>
    <row r="28" spans="1:7" ht="11.25" customHeight="1">
      <c r="A28" s="472" t="s">
        <v>276</v>
      </c>
      <c r="B28" s="473"/>
      <c r="C28" s="473"/>
      <c r="D28" s="473"/>
      <c r="E28" s="465" t="s">
        <v>2</v>
      </c>
      <c r="F28" s="466"/>
    </row>
    <row r="29" spans="1:7" ht="51.75" thickBot="1">
      <c r="A29" s="372" t="s">
        <v>716</v>
      </c>
      <c r="B29" s="84" t="s">
        <v>3</v>
      </c>
      <c r="C29" s="84" t="s">
        <v>4</v>
      </c>
      <c r="D29" s="84" t="s">
        <v>5</v>
      </c>
      <c r="E29" s="85" t="s">
        <v>6</v>
      </c>
      <c r="F29" s="86" t="s">
        <v>7</v>
      </c>
    </row>
    <row r="30" spans="1:7" ht="13.5" thickTop="1">
      <c r="A30" s="17">
        <v>1</v>
      </c>
      <c r="B30" s="135" t="s">
        <v>183</v>
      </c>
      <c r="C30" s="133" t="s">
        <v>43</v>
      </c>
      <c r="D30" s="88">
        <v>1.23</v>
      </c>
      <c r="E30" s="134">
        <v>15</v>
      </c>
      <c r="F30" s="58">
        <f>E30*D30</f>
        <v>18.45</v>
      </c>
    </row>
    <row r="31" spans="1:7">
      <c r="A31" s="184">
        <v>2</v>
      </c>
      <c r="B31" s="96" t="s">
        <v>8</v>
      </c>
      <c r="C31" s="185" t="s">
        <v>70</v>
      </c>
      <c r="D31" s="88">
        <v>1.23</v>
      </c>
      <c r="E31" s="186">
        <v>2.16</v>
      </c>
      <c r="F31" s="187">
        <f>(E31*D31)</f>
        <v>2.6568000000000001</v>
      </c>
    </row>
    <row r="32" spans="1:7">
      <c r="A32" s="184"/>
      <c r="B32" s="91" t="s">
        <v>69</v>
      </c>
      <c r="C32" s="185"/>
      <c r="D32" s="93">
        <v>0.34</v>
      </c>
      <c r="E32" s="186">
        <v>500</v>
      </c>
      <c r="F32" s="187">
        <f t="shared" ref="F32:F51" si="1">(E32*D32)</f>
        <v>170</v>
      </c>
    </row>
    <row r="33" spans="1:6">
      <c r="A33" s="17">
        <v>3</v>
      </c>
      <c r="B33" s="95" t="s">
        <v>11</v>
      </c>
      <c r="C33" s="185" t="s">
        <v>70</v>
      </c>
      <c r="D33" s="88">
        <v>1.23</v>
      </c>
      <c r="E33" s="186">
        <v>1.1599999999999999</v>
      </c>
      <c r="F33" s="187">
        <f t="shared" si="1"/>
        <v>1.4267999999999998</v>
      </c>
    </row>
    <row r="34" spans="1:6">
      <c r="A34" s="17">
        <v>4</v>
      </c>
      <c r="B34" s="95" t="s">
        <v>288</v>
      </c>
      <c r="C34" s="133" t="s">
        <v>289</v>
      </c>
      <c r="D34" s="88">
        <v>1.23</v>
      </c>
      <c r="E34" s="134">
        <v>10.56</v>
      </c>
      <c r="F34" s="187">
        <f t="shared" si="1"/>
        <v>12.988800000000001</v>
      </c>
    </row>
    <row r="35" spans="1:6">
      <c r="A35" s="17">
        <v>5</v>
      </c>
      <c r="B35" s="96" t="s">
        <v>8</v>
      </c>
      <c r="C35" s="133" t="s">
        <v>45</v>
      </c>
      <c r="D35" s="88">
        <v>1.23</v>
      </c>
      <c r="E35" s="134">
        <v>2.16</v>
      </c>
      <c r="F35" s="187">
        <f t="shared" si="1"/>
        <v>2.6568000000000001</v>
      </c>
    </row>
    <row r="36" spans="1:6">
      <c r="A36" s="17"/>
      <c r="B36" s="91" t="s">
        <v>19</v>
      </c>
      <c r="C36" s="133"/>
      <c r="D36" s="97">
        <v>0.26</v>
      </c>
      <c r="E36" s="134">
        <v>500</v>
      </c>
      <c r="F36" s="187">
        <f t="shared" si="1"/>
        <v>130</v>
      </c>
    </row>
    <row r="37" spans="1:6">
      <c r="A37" s="17">
        <v>6</v>
      </c>
      <c r="B37" s="95" t="s">
        <v>11</v>
      </c>
      <c r="C37" s="133" t="s">
        <v>45</v>
      </c>
      <c r="D37" s="88">
        <v>1.23</v>
      </c>
      <c r="E37" s="134">
        <v>1.1599999999999999</v>
      </c>
      <c r="F37" s="187">
        <f t="shared" si="1"/>
        <v>1.4267999999999998</v>
      </c>
    </row>
    <row r="38" spans="1:6">
      <c r="A38" s="17">
        <v>7</v>
      </c>
      <c r="B38" s="96" t="s">
        <v>290</v>
      </c>
      <c r="C38" s="133" t="s">
        <v>291</v>
      </c>
      <c r="D38" s="88">
        <v>1.23</v>
      </c>
      <c r="E38" s="209">
        <v>5.46</v>
      </c>
      <c r="F38" s="187">
        <f t="shared" si="1"/>
        <v>6.7157999999999998</v>
      </c>
    </row>
    <row r="39" spans="1:6">
      <c r="A39" s="17">
        <v>8</v>
      </c>
      <c r="B39" s="96" t="s">
        <v>292</v>
      </c>
      <c r="C39" s="133" t="s">
        <v>291</v>
      </c>
      <c r="D39" s="88">
        <v>1.23</v>
      </c>
      <c r="E39" s="134">
        <v>6.44</v>
      </c>
      <c r="F39" s="187">
        <f t="shared" si="1"/>
        <v>7.9212000000000007</v>
      </c>
    </row>
    <row r="40" spans="1:6">
      <c r="A40" s="17"/>
      <c r="B40" s="96" t="s">
        <v>293</v>
      </c>
      <c r="C40" s="133" t="s">
        <v>18</v>
      </c>
      <c r="D40" s="218">
        <v>6.06</v>
      </c>
      <c r="E40" s="134">
        <v>30</v>
      </c>
      <c r="F40" s="187">
        <f t="shared" si="1"/>
        <v>181.79999999999998</v>
      </c>
    </row>
    <row r="41" spans="1:6">
      <c r="A41" s="17"/>
      <c r="B41" s="96" t="s">
        <v>294</v>
      </c>
      <c r="C41" s="136"/>
      <c r="D41" s="104">
        <v>115.87</v>
      </c>
      <c r="E41" s="134">
        <v>0.2</v>
      </c>
      <c r="F41" s="187">
        <f t="shared" si="1"/>
        <v>23.174000000000003</v>
      </c>
    </row>
    <row r="42" spans="1:6">
      <c r="A42" s="17"/>
      <c r="B42" s="96" t="s">
        <v>295</v>
      </c>
      <c r="C42" s="136" t="s">
        <v>70</v>
      </c>
      <c r="D42" s="88">
        <v>15.5</v>
      </c>
      <c r="E42" s="134">
        <v>1</v>
      </c>
      <c r="F42" s="187">
        <f t="shared" si="1"/>
        <v>15.5</v>
      </c>
    </row>
    <row r="43" spans="1:6">
      <c r="A43" s="17"/>
      <c r="B43" s="96" t="s">
        <v>296</v>
      </c>
      <c r="C43" s="136" t="s">
        <v>45</v>
      </c>
      <c r="D43" s="88">
        <v>9.19</v>
      </c>
      <c r="E43" s="134">
        <v>1.5</v>
      </c>
      <c r="F43" s="187">
        <f t="shared" si="1"/>
        <v>13.785</v>
      </c>
    </row>
    <row r="44" spans="1:6">
      <c r="A44" s="17"/>
      <c r="B44" s="96" t="s">
        <v>137</v>
      </c>
      <c r="C44" s="136"/>
      <c r="D44" s="88">
        <v>6.46</v>
      </c>
      <c r="E44" s="134">
        <v>2.5</v>
      </c>
      <c r="F44" s="187">
        <f t="shared" si="1"/>
        <v>16.149999999999999</v>
      </c>
    </row>
    <row r="45" spans="1:6">
      <c r="A45" s="17"/>
      <c r="B45" s="96" t="s">
        <v>297</v>
      </c>
      <c r="C45" s="136" t="s">
        <v>21</v>
      </c>
      <c r="D45" s="88">
        <v>12.11</v>
      </c>
      <c r="E45" s="134">
        <v>1</v>
      </c>
      <c r="F45" s="187">
        <f t="shared" si="1"/>
        <v>12.11</v>
      </c>
    </row>
    <row r="46" spans="1:6">
      <c r="A46" s="17"/>
      <c r="B46" s="96" t="s">
        <v>324</v>
      </c>
      <c r="C46" s="136"/>
      <c r="D46" s="218">
        <v>11.71</v>
      </c>
      <c r="E46" s="134">
        <v>3</v>
      </c>
      <c r="F46" s="187">
        <f t="shared" si="1"/>
        <v>35.130000000000003</v>
      </c>
    </row>
    <row r="47" spans="1:6">
      <c r="A47" s="17"/>
      <c r="B47" s="96" t="s">
        <v>298</v>
      </c>
      <c r="C47" s="136" t="s">
        <v>54</v>
      </c>
      <c r="D47" s="88">
        <v>26.24</v>
      </c>
      <c r="E47" s="134">
        <v>1</v>
      </c>
      <c r="F47" s="187">
        <f t="shared" si="1"/>
        <v>26.24</v>
      </c>
    </row>
    <row r="48" spans="1:6">
      <c r="A48" s="17"/>
      <c r="B48" s="96" t="s">
        <v>299</v>
      </c>
      <c r="C48" s="136"/>
      <c r="D48" s="88">
        <v>190.75</v>
      </c>
      <c r="E48" s="134">
        <v>0.8</v>
      </c>
      <c r="F48" s="187">
        <f t="shared" si="1"/>
        <v>152.6</v>
      </c>
    </row>
    <row r="49" spans="1:7">
      <c r="A49" s="17"/>
      <c r="B49" s="96" t="s">
        <v>300</v>
      </c>
      <c r="C49" s="136" t="s">
        <v>34</v>
      </c>
      <c r="D49" s="88">
        <v>26.46</v>
      </c>
      <c r="E49" s="134">
        <v>1</v>
      </c>
      <c r="F49" s="187">
        <f t="shared" si="1"/>
        <v>26.46</v>
      </c>
    </row>
    <row r="50" spans="1:7">
      <c r="A50" s="17"/>
      <c r="B50" s="96" t="s">
        <v>301</v>
      </c>
      <c r="C50" s="133" t="s">
        <v>9</v>
      </c>
      <c r="D50" s="104">
        <v>10.01</v>
      </c>
      <c r="E50" s="134">
        <v>6</v>
      </c>
      <c r="F50" s="187">
        <f t="shared" si="1"/>
        <v>60.06</v>
      </c>
    </row>
    <row r="51" spans="1:7" ht="13.5" thickBot="1">
      <c r="A51" s="30">
        <v>9</v>
      </c>
      <c r="B51" s="105" t="s">
        <v>286</v>
      </c>
      <c r="C51" s="140" t="s">
        <v>274</v>
      </c>
      <c r="D51" s="107">
        <v>1.23</v>
      </c>
      <c r="E51" s="116">
        <v>15</v>
      </c>
      <c r="F51" s="109">
        <f t="shared" si="1"/>
        <v>18.45</v>
      </c>
    </row>
    <row r="52" spans="1:7">
      <c r="A52" s="454" t="s">
        <v>30</v>
      </c>
      <c r="B52" s="455"/>
      <c r="C52" s="110"/>
      <c r="D52" s="202"/>
      <c r="E52" s="219"/>
      <c r="F52" s="222">
        <f>SUM(F30:F51)</f>
        <v>935.702</v>
      </c>
      <c r="G52" s="240">
        <f>F26*F52</f>
        <v>0</v>
      </c>
    </row>
    <row r="53" spans="1:7" ht="13.5" thickBot="1">
      <c r="A53" s="467" t="s">
        <v>31</v>
      </c>
      <c r="B53" s="468"/>
      <c r="C53" s="469"/>
      <c r="D53" s="105"/>
      <c r="E53" s="205">
        <f>E30+E31+E33+E34+E35+E37+E38+E39+E51</f>
        <v>59.1</v>
      </c>
      <c r="F53" s="206"/>
      <c r="G53" s="118" t="s">
        <v>277</v>
      </c>
    </row>
    <row r="54" spans="1:7" ht="13.5" thickBot="1"/>
    <row r="55" spans="1:7" ht="12" customHeight="1">
      <c r="A55" s="456" t="s">
        <v>32</v>
      </c>
      <c r="B55" s="457"/>
      <c r="C55" s="457"/>
      <c r="D55" s="457"/>
      <c r="E55" s="457"/>
      <c r="F55" s="458"/>
    </row>
    <row r="56" spans="1:7" ht="15" customHeight="1">
      <c r="A56" s="459"/>
      <c r="B56" s="460"/>
      <c r="C56" s="460"/>
      <c r="D56" s="460"/>
      <c r="E56" s="460"/>
      <c r="F56" s="461"/>
    </row>
    <row r="57" spans="1:7" ht="15" customHeight="1" thickBot="1">
      <c r="A57" s="462"/>
      <c r="B57" s="463"/>
      <c r="C57" s="463"/>
      <c r="D57" s="463"/>
      <c r="E57" s="463"/>
      <c r="F57" s="464"/>
    </row>
    <row r="58" spans="1:7" ht="13.5" thickBot="1"/>
    <row r="59" spans="1:7" ht="13.5" customHeight="1" thickBot="1">
      <c r="B59" s="2" t="s">
        <v>302</v>
      </c>
      <c r="D59" s="470" t="s">
        <v>1</v>
      </c>
      <c r="E59" s="471"/>
      <c r="F59" s="81">
        <v>0</v>
      </c>
    </row>
    <row r="60" spans="1:7" ht="13.5" thickBot="1">
      <c r="D60" s="223"/>
      <c r="E60" s="6"/>
      <c r="F60" s="127"/>
    </row>
    <row r="61" spans="1:7" ht="11.25" customHeight="1">
      <c r="A61" s="472" t="s">
        <v>276</v>
      </c>
      <c r="B61" s="473"/>
      <c r="C61" s="473"/>
      <c r="D61" s="473"/>
      <c r="E61" s="465" t="s">
        <v>2</v>
      </c>
      <c r="F61" s="466"/>
    </row>
    <row r="62" spans="1:7" ht="51.75" thickBot="1">
      <c r="A62" s="372" t="s">
        <v>716</v>
      </c>
      <c r="B62" s="84" t="s">
        <v>3</v>
      </c>
      <c r="C62" s="84" t="s">
        <v>4</v>
      </c>
      <c r="D62" s="84" t="s">
        <v>5</v>
      </c>
      <c r="E62" s="85" t="s">
        <v>6</v>
      </c>
      <c r="F62" s="86" t="s">
        <v>7</v>
      </c>
    </row>
    <row r="63" spans="1:7" ht="13.5" thickTop="1">
      <c r="A63" s="17">
        <v>1</v>
      </c>
      <c r="B63" s="135" t="s">
        <v>183</v>
      </c>
      <c r="C63" s="133" t="s">
        <v>70</v>
      </c>
      <c r="D63" s="88">
        <v>1.23</v>
      </c>
      <c r="E63" s="134">
        <v>15</v>
      </c>
      <c r="F63" s="58">
        <f>E63*D63</f>
        <v>18.45</v>
      </c>
    </row>
    <row r="64" spans="1:7">
      <c r="A64" s="184">
        <v>2</v>
      </c>
      <c r="B64" s="96" t="s">
        <v>8</v>
      </c>
      <c r="C64" s="185" t="s">
        <v>70</v>
      </c>
      <c r="D64" s="88">
        <v>1.23</v>
      </c>
      <c r="E64" s="186">
        <v>1.08</v>
      </c>
      <c r="F64" s="187">
        <f>(E64*D64)</f>
        <v>1.3284</v>
      </c>
    </row>
    <row r="65" spans="1:6">
      <c r="A65" s="184"/>
      <c r="B65" s="91" t="s">
        <v>69</v>
      </c>
      <c r="C65" s="185"/>
      <c r="D65" s="93">
        <v>0.34</v>
      </c>
      <c r="E65" s="186">
        <v>300</v>
      </c>
      <c r="F65" s="187">
        <f t="shared" ref="F65:F80" si="2">(E65*D65)</f>
        <v>102.00000000000001</v>
      </c>
    </row>
    <row r="66" spans="1:6">
      <c r="A66" s="17">
        <v>3</v>
      </c>
      <c r="B66" s="95" t="s">
        <v>11</v>
      </c>
      <c r="C66" s="185" t="s">
        <v>70</v>
      </c>
      <c r="D66" s="88">
        <v>1.23</v>
      </c>
      <c r="E66" s="186">
        <v>1.1599999999999999</v>
      </c>
      <c r="F66" s="187">
        <f t="shared" si="2"/>
        <v>1.4267999999999998</v>
      </c>
    </row>
    <row r="67" spans="1:6">
      <c r="A67" s="17">
        <v>4</v>
      </c>
      <c r="B67" s="95" t="s">
        <v>288</v>
      </c>
      <c r="C67" s="133" t="s">
        <v>289</v>
      </c>
      <c r="D67" s="88">
        <v>1.23</v>
      </c>
      <c r="E67" s="134">
        <v>10.56</v>
      </c>
      <c r="F67" s="187">
        <f t="shared" si="2"/>
        <v>12.988800000000001</v>
      </c>
    </row>
    <row r="68" spans="1:6">
      <c r="A68" s="17">
        <v>5</v>
      </c>
      <c r="B68" s="96" t="s">
        <v>8</v>
      </c>
      <c r="C68" s="133" t="s">
        <v>45</v>
      </c>
      <c r="D68" s="88">
        <v>1.23</v>
      </c>
      <c r="E68" s="134">
        <v>1.08</v>
      </c>
      <c r="F68" s="187">
        <f t="shared" si="2"/>
        <v>1.3284</v>
      </c>
    </row>
    <row r="69" spans="1:6">
      <c r="A69" s="17"/>
      <c r="B69" s="91" t="s">
        <v>19</v>
      </c>
      <c r="C69" s="133"/>
      <c r="D69" s="97">
        <v>0.26</v>
      </c>
      <c r="E69" s="134">
        <v>200</v>
      </c>
      <c r="F69" s="187">
        <f t="shared" si="2"/>
        <v>52</v>
      </c>
    </row>
    <row r="70" spans="1:6">
      <c r="A70" s="17">
        <v>6</v>
      </c>
      <c r="B70" s="95" t="s">
        <v>11</v>
      </c>
      <c r="C70" s="133" t="s">
        <v>45</v>
      </c>
      <c r="D70" s="88">
        <v>1.23</v>
      </c>
      <c r="E70" s="134">
        <v>1.1599999999999999</v>
      </c>
      <c r="F70" s="187">
        <f t="shared" si="2"/>
        <v>1.4267999999999998</v>
      </c>
    </row>
    <row r="71" spans="1:6">
      <c r="A71" s="17">
        <v>7</v>
      </c>
      <c r="B71" s="96" t="s">
        <v>145</v>
      </c>
      <c r="C71" s="133" t="s">
        <v>303</v>
      </c>
      <c r="D71" s="88">
        <v>1.23</v>
      </c>
      <c r="E71" s="209">
        <v>3.12</v>
      </c>
      <c r="F71" s="187">
        <f t="shared" si="2"/>
        <v>3.8376000000000001</v>
      </c>
    </row>
    <row r="72" spans="1:6">
      <c r="A72" s="17">
        <v>8</v>
      </c>
      <c r="B72" s="96" t="s">
        <v>147</v>
      </c>
      <c r="C72" s="133" t="s">
        <v>303</v>
      </c>
      <c r="D72" s="88">
        <v>1.23</v>
      </c>
      <c r="E72" s="134">
        <v>3.68</v>
      </c>
      <c r="F72" s="187">
        <f t="shared" si="2"/>
        <v>4.5263999999999998</v>
      </c>
    </row>
    <row r="73" spans="1:6">
      <c r="A73" s="17"/>
      <c r="B73" s="96" t="s">
        <v>304</v>
      </c>
      <c r="C73" s="133" t="s">
        <v>70</v>
      </c>
      <c r="D73" s="104">
        <v>10.01</v>
      </c>
      <c r="E73" s="134">
        <v>6</v>
      </c>
      <c r="F73" s="187">
        <f t="shared" si="2"/>
        <v>60.06</v>
      </c>
    </row>
    <row r="74" spans="1:6">
      <c r="A74" s="17"/>
      <c r="B74" s="96" t="s">
        <v>305</v>
      </c>
      <c r="C74" s="136"/>
      <c r="D74" s="104">
        <v>4.4400000000000004</v>
      </c>
      <c r="E74" s="134">
        <v>3</v>
      </c>
      <c r="F74" s="187">
        <f t="shared" si="2"/>
        <v>13.32</v>
      </c>
    </row>
    <row r="75" spans="1:6">
      <c r="A75" s="17"/>
      <c r="B75" s="96" t="s">
        <v>649</v>
      </c>
      <c r="C75" s="136" t="s">
        <v>21</v>
      </c>
      <c r="D75" s="218">
        <v>9.19</v>
      </c>
      <c r="E75" s="134">
        <v>1</v>
      </c>
      <c r="F75" s="187">
        <f t="shared" si="2"/>
        <v>9.19</v>
      </c>
    </row>
    <row r="76" spans="1:6">
      <c r="A76" s="17"/>
      <c r="B76" s="96" t="s">
        <v>137</v>
      </c>
      <c r="C76" s="136"/>
      <c r="D76" s="88">
        <v>6.46</v>
      </c>
      <c r="E76" s="134">
        <v>2.5</v>
      </c>
      <c r="F76" s="187">
        <f t="shared" si="2"/>
        <v>16.149999999999999</v>
      </c>
    </row>
    <row r="77" spans="1:6">
      <c r="A77" s="17"/>
      <c r="B77" s="3" t="s">
        <v>179</v>
      </c>
      <c r="C77" s="136" t="s">
        <v>54</v>
      </c>
      <c r="D77" s="88">
        <v>52.89</v>
      </c>
      <c r="E77" s="134">
        <v>0.2</v>
      </c>
      <c r="F77" s="187">
        <f t="shared" si="2"/>
        <v>10.578000000000001</v>
      </c>
    </row>
    <row r="78" spans="1:6">
      <c r="A78" s="17"/>
      <c r="B78" s="96" t="s">
        <v>152</v>
      </c>
      <c r="C78" s="136"/>
      <c r="D78" s="88">
        <v>22.64</v>
      </c>
      <c r="E78" s="134">
        <v>2.5</v>
      </c>
      <c r="F78" s="187">
        <f t="shared" si="2"/>
        <v>56.6</v>
      </c>
    </row>
    <row r="79" spans="1:6">
      <c r="A79" s="17"/>
      <c r="B79" s="96" t="s">
        <v>306</v>
      </c>
      <c r="C79" s="136" t="s">
        <v>54</v>
      </c>
      <c r="D79" s="88">
        <v>141.30000000000001</v>
      </c>
      <c r="E79" s="134">
        <v>0.2</v>
      </c>
      <c r="F79" s="187">
        <f t="shared" si="2"/>
        <v>28.260000000000005</v>
      </c>
    </row>
    <row r="80" spans="1:6" ht="13.5" thickBot="1">
      <c r="A80" s="164">
        <v>9</v>
      </c>
      <c r="B80" s="165" t="s">
        <v>307</v>
      </c>
      <c r="C80" s="166" t="s">
        <v>308</v>
      </c>
      <c r="D80" s="107">
        <v>1.23</v>
      </c>
      <c r="E80" s="220">
        <v>15</v>
      </c>
      <c r="F80" s="109">
        <f t="shared" si="2"/>
        <v>18.45</v>
      </c>
    </row>
    <row r="81" spans="1:7">
      <c r="A81" s="454" t="s">
        <v>30</v>
      </c>
      <c r="B81" s="455"/>
      <c r="C81" s="110"/>
      <c r="D81" s="202"/>
      <c r="E81" s="203"/>
      <c r="F81" s="204">
        <f>SUM(F63:F80)</f>
        <v>411.92119999999994</v>
      </c>
      <c r="G81" s="240">
        <f>F59*F81</f>
        <v>0</v>
      </c>
    </row>
    <row r="82" spans="1:7" ht="13.5" thickBot="1">
      <c r="A82" s="467" t="s">
        <v>31</v>
      </c>
      <c r="B82" s="468"/>
      <c r="C82" s="469"/>
      <c r="D82" s="105"/>
      <c r="E82" s="205">
        <f>E63+E64+E66+E67+E68+E70+E71+E72+E80</f>
        <v>51.839999999999996</v>
      </c>
      <c r="F82" s="206"/>
      <c r="G82" s="118" t="s">
        <v>277</v>
      </c>
    </row>
    <row r="83" spans="1:7" ht="13.5" thickBot="1"/>
    <row r="84" spans="1:7" ht="12" customHeight="1">
      <c r="A84" s="456" t="s">
        <v>32</v>
      </c>
      <c r="B84" s="457"/>
      <c r="C84" s="457"/>
      <c r="D84" s="457"/>
      <c r="E84" s="457"/>
      <c r="F84" s="458"/>
    </row>
    <row r="85" spans="1:7" ht="15" customHeight="1">
      <c r="A85" s="459"/>
      <c r="B85" s="460"/>
      <c r="C85" s="460"/>
      <c r="D85" s="460"/>
      <c r="E85" s="460"/>
      <c r="F85" s="461"/>
    </row>
    <row r="86" spans="1:7" ht="15" customHeight="1" thickBot="1">
      <c r="A86" s="462"/>
      <c r="B86" s="463"/>
      <c r="C86" s="463"/>
      <c r="D86" s="463"/>
      <c r="E86" s="463"/>
      <c r="F86" s="464"/>
    </row>
    <row r="87" spans="1:7" ht="13.5" thickBot="1"/>
    <row r="88" spans="1:7" ht="13.5" customHeight="1" thickBot="1">
      <c r="B88" s="2" t="s">
        <v>309</v>
      </c>
      <c r="C88" s="241"/>
      <c r="D88" s="470" t="s">
        <v>1</v>
      </c>
      <c r="E88" s="471"/>
      <c r="F88" s="81">
        <v>0</v>
      </c>
    </row>
    <row r="89" spans="1:7" ht="13.5" thickBot="1"/>
    <row r="90" spans="1:7" ht="11.25" customHeight="1">
      <c r="A90" s="472" t="s">
        <v>276</v>
      </c>
      <c r="B90" s="473"/>
      <c r="C90" s="473"/>
      <c r="D90" s="473"/>
      <c r="E90" s="465" t="s">
        <v>2</v>
      </c>
      <c r="F90" s="466"/>
    </row>
    <row r="91" spans="1:7" ht="51.75" thickBot="1">
      <c r="A91" s="372" t="s">
        <v>716</v>
      </c>
      <c r="B91" s="84" t="s">
        <v>3</v>
      </c>
      <c r="C91" s="84" t="s">
        <v>4</v>
      </c>
      <c r="D91" s="84" t="s">
        <v>5</v>
      </c>
      <c r="E91" s="85" t="s">
        <v>6</v>
      </c>
      <c r="F91" s="86" t="s">
        <v>7</v>
      </c>
    </row>
    <row r="92" spans="1:7" ht="13.5" thickTop="1">
      <c r="A92" s="17">
        <v>1</v>
      </c>
      <c r="B92" s="135" t="s">
        <v>183</v>
      </c>
      <c r="C92" s="133" t="s">
        <v>43</v>
      </c>
      <c r="D92" s="88">
        <v>1.23</v>
      </c>
      <c r="E92" s="134">
        <v>15</v>
      </c>
      <c r="F92" s="58">
        <f>E92*D92</f>
        <v>18.45</v>
      </c>
    </row>
    <row r="93" spans="1:7">
      <c r="A93" s="184">
        <v>2</v>
      </c>
      <c r="B93" s="96" t="s">
        <v>8</v>
      </c>
      <c r="C93" s="185" t="s">
        <v>70</v>
      </c>
      <c r="D93" s="88">
        <v>1.23</v>
      </c>
      <c r="E93" s="186">
        <v>4.32</v>
      </c>
      <c r="F93" s="187">
        <f>(E93*D93)</f>
        <v>5.3136000000000001</v>
      </c>
    </row>
    <row r="94" spans="1:7">
      <c r="A94" s="184"/>
      <c r="B94" s="91" t="s">
        <v>69</v>
      </c>
      <c r="C94" s="185"/>
      <c r="D94" s="93">
        <v>0.34</v>
      </c>
      <c r="E94" s="243">
        <v>1000</v>
      </c>
      <c r="F94" s="187">
        <f t="shared" ref="F94:F130" si="3">(E94*D94)</f>
        <v>340</v>
      </c>
    </row>
    <row r="95" spans="1:7">
      <c r="A95" s="17">
        <v>3</v>
      </c>
      <c r="B95" s="95" t="s">
        <v>11</v>
      </c>
      <c r="C95" s="185" t="s">
        <v>70</v>
      </c>
      <c r="D95" s="88">
        <v>1.23</v>
      </c>
      <c r="E95" s="186">
        <v>2.3199999999999998</v>
      </c>
      <c r="F95" s="187">
        <f t="shared" si="3"/>
        <v>2.8535999999999997</v>
      </c>
    </row>
    <row r="96" spans="1:7">
      <c r="A96" s="17">
        <v>4</v>
      </c>
      <c r="B96" s="95" t="s">
        <v>288</v>
      </c>
      <c r="C96" s="133" t="s">
        <v>289</v>
      </c>
      <c r="D96" s="88">
        <v>1.23</v>
      </c>
      <c r="E96" s="134">
        <v>10.56</v>
      </c>
      <c r="F96" s="187">
        <f t="shared" si="3"/>
        <v>12.988800000000001</v>
      </c>
    </row>
    <row r="97" spans="1:6">
      <c r="A97" s="17">
        <v>5</v>
      </c>
      <c r="B97" s="96" t="s">
        <v>8</v>
      </c>
      <c r="C97" s="133" t="s">
        <v>45</v>
      </c>
      <c r="D97" s="88">
        <v>1.23</v>
      </c>
      <c r="E97" s="134">
        <v>2.16</v>
      </c>
      <c r="F97" s="187">
        <f t="shared" si="3"/>
        <v>2.6568000000000001</v>
      </c>
    </row>
    <row r="98" spans="1:6">
      <c r="A98" s="17"/>
      <c r="B98" s="91" t="s">
        <v>19</v>
      </c>
      <c r="C98" s="133"/>
      <c r="D98" s="97">
        <v>0.26</v>
      </c>
      <c r="E98" s="134">
        <v>500</v>
      </c>
      <c r="F98" s="187">
        <f t="shared" si="3"/>
        <v>130</v>
      </c>
    </row>
    <row r="99" spans="1:6">
      <c r="A99" s="17">
        <v>6</v>
      </c>
      <c r="B99" s="95" t="s">
        <v>11</v>
      </c>
      <c r="C99" s="133" t="s">
        <v>45</v>
      </c>
      <c r="D99" s="88">
        <v>1.23</v>
      </c>
      <c r="E99" s="134">
        <v>1.1599999999999999</v>
      </c>
      <c r="F99" s="187">
        <f t="shared" si="3"/>
        <v>1.4267999999999998</v>
      </c>
    </row>
    <row r="100" spans="1:6">
      <c r="A100" s="17">
        <v>7</v>
      </c>
      <c r="B100" s="96" t="s">
        <v>310</v>
      </c>
      <c r="C100" s="133" t="s">
        <v>311</v>
      </c>
      <c r="D100" s="88">
        <v>1.23</v>
      </c>
      <c r="E100" s="209">
        <v>8.58</v>
      </c>
      <c r="F100" s="187">
        <f t="shared" si="3"/>
        <v>10.5534</v>
      </c>
    </row>
    <row r="101" spans="1:6">
      <c r="A101" s="17">
        <v>8</v>
      </c>
      <c r="B101" s="96" t="s">
        <v>312</v>
      </c>
      <c r="C101" s="133" t="s">
        <v>311</v>
      </c>
      <c r="D101" s="88">
        <v>1.23</v>
      </c>
      <c r="E101" s="134">
        <v>10.119999999999999</v>
      </c>
      <c r="F101" s="187">
        <f t="shared" si="3"/>
        <v>12.4476</v>
      </c>
    </row>
    <row r="102" spans="1:6">
      <c r="A102" s="17"/>
      <c r="B102" s="96" t="s">
        <v>313</v>
      </c>
      <c r="C102" s="133" t="s">
        <v>18</v>
      </c>
      <c r="D102" s="104">
        <v>3.19</v>
      </c>
      <c r="E102" s="134">
        <v>30</v>
      </c>
      <c r="F102" s="187">
        <f t="shared" si="3"/>
        <v>95.7</v>
      </c>
    </row>
    <row r="103" spans="1:6">
      <c r="A103" s="17"/>
      <c r="B103" s="96" t="s">
        <v>282</v>
      </c>
      <c r="C103" s="136"/>
      <c r="D103" s="104">
        <v>10.01</v>
      </c>
      <c r="E103" s="134">
        <v>6</v>
      </c>
      <c r="F103" s="187">
        <f t="shared" si="3"/>
        <v>60.06</v>
      </c>
    </row>
    <row r="104" spans="1:6">
      <c r="A104" s="17"/>
      <c r="B104" s="96" t="s">
        <v>314</v>
      </c>
      <c r="C104" s="136" t="s">
        <v>70</v>
      </c>
      <c r="D104" s="88">
        <v>12.11</v>
      </c>
      <c r="E104" s="134">
        <v>1</v>
      </c>
      <c r="F104" s="187">
        <f t="shared" si="3"/>
        <v>12.11</v>
      </c>
    </row>
    <row r="105" spans="1:6">
      <c r="A105" s="17"/>
      <c r="B105" s="96" t="s">
        <v>137</v>
      </c>
      <c r="C105" s="136"/>
      <c r="D105" s="88">
        <v>6.46</v>
      </c>
      <c r="E105" s="134">
        <v>2.5</v>
      </c>
      <c r="F105" s="187">
        <f t="shared" si="3"/>
        <v>16.149999999999999</v>
      </c>
    </row>
    <row r="106" spans="1:6">
      <c r="A106" s="17"/>
      <c r="B106" s="96" t="s">
        <v>315</v>
      </c>
      <c r="C106" s="136"/>
      <c r="D106" s="88">
        <v>141.30000000000001</v>
      </c>
      <c r="E106" s="134">
        <v>0.2</v>
      </c>
      <c r="F106" s="187">
        <f t="shared" si="3"/>
        <v>28.260000000000005</v>
      </c>
    </row>
    <row r="107" spans="1:6">
      <c r="A107" s="17"/>
      <c r="B107" s="96" t="s">
        <v>316</v>
      </c>
      <c r="C107" s="136" t="s">
        <v>45</v>
      </c>
      <c r="D107" s="88">
        <v>113.04</v>
      </c>
      <c r="E107" s="134">
        <v>0.2</v>
      </c>
      <c r="F107" s="187">
        <f t="shared" si="3"/>
        <v>22.608000000000004</v>
      </c>
    </row>
    <row r="108" spans="1:6">
      <c r="A108" s="17"/>
      <c r="B108" s="96" t="s">
        <v>284</v>
      </c>
      <c r="C108" s="136"/>
      <c r="D108" s="218">
        <v>9.19</v>
      </c>
      <c r="E108" s="134">
        <v>1.5</v>
      </c>
      <c r="F108" s="187">
        <f t="shared" si="3"/>
        <v>13.785</v>
      </c>
    </row>
    <row r="109" spans="1:6">
      <c r="A109" s="17"/>
      <c r="B109" s="96" t="s">
        <v>137</v>
      </c>
      <c r="C109" s="136"/>
      <c r="D109" s="88">
        <v>6.46</v>
      </c>
      <c r="E109" s="134">
        <v>2.5</v>
      </c>
      <c r="F109" s="187">
        <f t="shared" si="3"/>
        <v>16.149999999999999</v>
      </c>
    </row>
    <row r="110" spans="1:6">
      <c r="A110" s="17"/>
      <c r="B110" s="96" t="s">
        <v>317</v>
      </c>
      <c r="C110" s="136" t="s">
        <v>21</v>
      </c>
      <c r="D110" s="218">
        <v>25.03</v>
      </c>
      <c r="E110" s="134">
        <v>0.08</v>
      </c>
      <c r="F110" s="187">
        <f t="shared" si="3"/>
        <v>2.0024000000000002</v>
      </c>
    </row>
    <row r="111" spans="1:6">
      <c r="A111" s="17"/>
      <c r="B111" s="96" t="s">
        <v>284</v>
      </c>
      <c r="D111" s="88">
        <v>9.19</v>
      </c>
      <c r="E111" s="134">
        <v>1.5</v>
      </c>
      <c r="F111" s="187">
        <f t="shared" si="3"/>
        <v>13.785</v>
      </c>
    </row>
    <row r="112" spans="1:6">
      <c r="A112" s="17"/>
      <c r="B112" s="96" t="s">
        <v>318</v>
      </c>
      <c r="C112" s="136" t="s">
        <v>21</v>
      </c>
      <c r="D112" s="104">
        <v>6.46</v>
      </c>
      <c r="E112" s="134">
        <v>2.5</v>
      </c>
      <c r="F112" s="187">
        <f t="shared" si="3"/>
        <v>16.149999999999999</v>
      </c>
    </row>
    <row r="113" spans="1:6">
      <c r="A113" s="17"/>
      <c r="B113" s="96" t="s">
        <v>324</v>
      </c>
      <c r="C113" s="136"/>
      <c r="D113" s="218">
        <v>11.71</v>
      </c>
      <c r="E113" s="134">
        <v>3</v>
      </c>
      <c r="F113" s="187">
        <f t="shared" si="3"/>
        <v>35.130000000000003</v>
      </c>
    </row>
    <row r="114" spans="1:6">
      <c r="A114" s="17"/>
      <c r="B114" s="96" t="s">
        <v>319</v>
      </c>
      <c r="C114" s="136"/>
      <c r="D114" s="88">
        <v>12.11</v>
      </c>
      <c r="E114" s="134">
        <v>1</v>
      </c>
      <c r="F114" s="187">
        <f t="shared" si="3"/>
        <v>12.11</v>
      </c>
    </row>
    <row r="115" spans="1:6">
      <c r="A115" s="17"/>
      <c r="B115" s="96" t="s">
        <v>320</v>
      </c>
      <c r="C115" s="136" t="s">
        <v>21</v>
      </c>
      <c r="D115" s="139">
        <v>72.67</v>
      </c>
      <c r="E115" s="134">
        <v>0.25</v>
      </c>
      <c r="F115" s="187">
        <f t="shared" si="3"/>
        <v>18.1675</v>
      </c>
    </row>
    <row r="116" spans="1:6">
      <c r="A116" s="17"/>
      <c r="B116" s="96" t="s">
        <v>324</v>
      </c>
      <c r="D116" s="218">
        <v>11.71</v>
      </c>
      <c r="E116" s="134">
        <v>3</v>
      </c>
      <c r="F116" s="187">
        <f t="shared" si="3"/>
        <v>35.130000000000003</v>
      </c>
    </row>
    <row r="117" spans="1:6">
      <c r="A117" s="17"/>
      <c r="B117" s="96" t="s">
        <v>321</v>
      </c>
      <c r="C117" s="136" t="s">
        <v>54</v>
      </c>
      <c r="D117" s="88">
        <v>6.46</v>
      </c>
      <c r="E117" s="134">
        <v>2.5</v>
      </c>
      <c r="F117" s="187">
        <f t="shared" si="3"/>
        <v>16.149999999999999</v>
      </c>
    </row>
    <row r="118" spans="1:6">
      <c r="A118" s="17"/>
      <c r="B118" s="96" t="s">
        <v>322</v>
      </c>
      <c r="C118" s="136"/>
      <c r="D118" s="139">
        <v>72.67</v>
      </c>
      <c r="E118" s="134">
        <v>0.25</v>
      </c>
      <c r="F118" s="187">
        <f t="shared" si="3"/>
        <v>18.1675</v>
      </c>
    </row>
    <row r="119" spans="1:6">
      <c r="A119" s="17"/>
      <c r="B119" s="96" t="s">
        <v>319</v>
      </c>
      <c r="C119" s="136"/>
      <c r="D119" s="88">
        <v>12.11</v>
      </c>
      <c r="E119" s="134">
        <v>1</v>
      </c>
      <c r="F119" s="187">
        <f t="shared" si="3"/>
        <v>12.11</v>
      </c>
    </row>
    <row r="120" spans="1:6">
      <c r="A120" s="17"/>
      <c r="B120" s="96" t="s">
        <v>323</v>
      </c>
      <c r="C120" s="136" t="s">
        <v>54</v>
      </c>
      <c r="D120" s="139">
        <v>72.67</v>
      </c>
      <c r="E120" s="134">
        <v>0.25</v>
      </c>
      <c r="F120" s="187">
        <f t="shared" si="3"/>
        <v>18.1675</v>
      </c>
    </row>
    <row r="121" spans="1:6">
      <c r="A121" s="17"/>
      <c r="B121" s="96" t="s">
        <v>324</v>
      </c>
      <c r="C121" s="136"/>
      <c r="D121" s="88">
        <v>11.71</v>
      </c>
      <c r="E121" s="134">
        <v>3</v>
      </c>
      <c r="F121" s="187">
        <f t="shared" si="3"/>
        <v>35.130000000000003</v>
      </c>
    </row>
    <row r="122" spans="1:6">
      <c r="A122" s="17"/>
      <c r="B122" s="96" t="s">
        <v>695</v>
      </c>
      <c r="C122" s="136"/>
      <c r="D122" s="139">
        <v>15.5</v>
      </c>
      <c r="E122" s="134">
        <v>2</v>
      </c>
      <c r="F122" s="187">
        <f t="shared" si="3"/>
        <v>31</v>
      </c>
    </row>
    <row r="123" spans="1:6">
      <c r="A123" s="17"/>
      <c r="B123" s="96" t="s">
        <v>325</v>
      </c>
      <c r="C123" s="136"/>
      <c r="D123" s="218">
        <v>24.22</v>
      </c>
      <c r="E123" s="134">
        <v>1.5</v>
      </c>
      <c r="F123" s="187">
        <f t="shared" si="3"/>
        <v>36.33</v>
      </c>
    </row>
    <row r="124" spans="1:6">
      <c r="A124" s="17"/>
      <c r="B124" s="96" t="s">
        <v>326</v>
      </c>
      <c r="C124" s="136" t="s">
        <v>34</v>
      </c>
      <c r="D124" s="88">
        <v>6.46</v>
      </c>
      <c r="E124" s="134">
        <v>2.5</v>
      </c>
      <c r="F124" s="187">
        <f t="shared" si="3"/>
        <v>16.149999999999999</v>
      </c>
    </row>
    <row r="125" spans="1:6">
      <c r="A125" s="17"/>
      <c r="B125" s="96" t="s">
        <v>319</v>
      </c>
      <c r="C125" s="136"/>
      <c r="D125" s="88">
        <v>12.11</v>
      </c>
      <c r="E125" s="134">
        <v>1</v>
      </c>
      <c r="F125" s="187">
        <f t="shared" si="3"/>
        <v>12.11</v>
      </c>
    </row>
    <row r="126" spans="1:6">
      <c r="A126" s="17"/>
      <c r="B126" s="96" t="s">
        <v>315</v>
      </c>
      <c r="C126" s="136"/>
      <c r="D126" s="88">
        <v>141.30000000000001</v>
      </c>
      <c r="E126" s="134">
        <v>0.2</v>
      </c>
      <c r="F126" s="187">
        <f t="shared" si="3"/>
        <v>28.260000000000005</v>
      </c>
    </row>
    <row r="127" spans="1:6">
      <c r="A127" s="17"/>
      <c r="B127" s="96" t="s">
        <v>327</v>
      </c>
      <c r="C127" s="136" t="s">
        <v>34</v>
      </c>
      <c r="D127" s="88">
        <v>75.819999999999993</v>
      </c>
      <c r="E127" s="134">
        <v>1</v>
      </c>
      <c r="F127" s="187">
        <f t="shared" si="3"/>
        <v>75.819999999999993</v>
      </c>
    </row>
    <row r="128" spans="1:6">
      <c r="A128" s="17"/>
      <c r="B128" s="96" t="s">
        <v>695</v>
      </c>
      <c r="C128" s="136"/>
      <c r="D128" s="139">
        <v>15.5</v>
      </c>
      <c r="E128" s="134">
        <v>2</v>
      </c>
      <c r="F128" s="187">
        <f t="shared" si="3"/>
        <v>31</v>
      </c>
    </row>
    <row r="129" spans="1:7">
      <c r="A129" s="17"/>
      <c r="B129" s="162" t="s">
        <v>328</v>
      </c>
      <c r="C129" s="163" t="s">
        <v>96</v>
      </c>
      <c r="D129" s="218">
        <v>141.30000000000001</v>
      </c>
      <c r="E129" s="134">
        <v>0.2</v>
      </c>
      <c r="F129" s="187">
        <f t="shared" si="3"/>
        <v>28.260000000000005</v>
      </c>
    </row>
    <row r="130" spans="1:7" ht="13.5" thickBot="1">
      <c r="A130" s="30">
        <v>9</v>
      </c>
      <c r="B130" s="105" t="s">
        <v>307</v>
      </c>
      <c r="C130" s="140" t="s">
        <v>202</v>
      </c>
      <c r="D130" s="107">
        <v>1.23</v>
      </c>
      <c r="E130" s="116">
        <v>30</v>
      </c>
      <c r="F130" s="109">
        <f t="shared" si="3"/>
        <v>36.9</v>
      </c>
    </row>
    <row r="131" spans="1:7" ht="12.75" customHeight="1">
      <c r="A131" s="454" t="s">
        <v>30</v>
      </c>
      <c r="B131" s="455"/>
      <c r="C131" s="110"/>
      <c r="D131" s="175"/>
      <c r="E131" s="129"/>
      <c r="F131" s="130">
        <f>SUM(F92:F130)</f>
        <v>1329.5434999999998</v>
      </c>
      <c r="G131" s="240">
        <f>F88*F131</f>
        <v>0</v>
      </c>
    </row>
    <row r="132" spans="1:7" ht="13.5" customHeight="1" thickBot="1">
      <c r="A132" s="467" t="s">
        <v>31</v>
      </c>
      <c r="B132" s="468"/>
      <c r="C132" s="469"/>
      <c r="D132" s="144"/>
      <c r="E132" s="116">
        <f>E92+E93+E95+E96+E97+E99+E100+E101+E130</f>
        <v>84.22</v>
      </c>
      <c r="F132" s="206"/>
      <c r="G132" s="118" t="s">
        <v>277</v>
      </c>
    </row>
    <row r="133" spans="1:7" ht="13.5" thickBot="1"/>
    <row r="134" spans="1:7" ht="12" customHeight="1">
      <c r="A134" s="456" t="s">
        <v>32</v>
      </c>
      <c r="B134" s="457"/>
      <c r="C134" s="457"/>
      <c r="D134" s="457"/>
      <c r="E134" s="457"/>
      <c r="F134" s="458"/>
    </row>
    <row r="135" spans="1:7" ht="15" customHeight="1">
      <c r="A135" s="459"/>
      <c r="B135" s="460"/>
      <c r="C135" s="460"/>
      <c r="D135" s="460"/>
      <c r="E135" s="460"/>
      <c r="F135" s="461"/>
    </row>
    <row r="136" spans="1:7" ht="15" customHeight="1" thickBot="1">
      <c r="A136" s="462"/>
      <c r="B136" s="463"/>
      <c r="C136" s="463"/>
      <c r="D136" s="463"/>
      <c r="E136" s="463"/>
      <c r="F136" s="464"/>
    </row>
    <row r="137" spans="1:7" ht="13.5" thickBot="1"/>
    <row r="138" spans="1:7" ht="13.5" customHeight="1" thickBot="1">
      <c r="B138" s="2" t="s">
        <v>329</v>
      </c>
      <c r="D138" s="470" t="s">
        <v>1</v>
      </c>
      <c r="E138" s="471"/>
      <c r="F138" s="81">
        <v>0</v>
      </c>
    </row>
    <row r="139" spans="1:7" ht="13.5" thickBot="1"/>
    <row r="140" spans="1:7" ht="11.25" customHeight="1">
      <c r="A140" s="472" t="s">
        <v>276</v>
      </c>
      <c r="B140" s="473"/>
      <c r="C140" s="473"/>
      <c r="D140" s="473"/>
      <c r="E140" s="465" t="s">
        <v>2</v>
      </c>
      <c r="F140" s="466"/>
    </row>
    <row r="141" spans="1:7" ht="51.75" thickBot="1">
      <c r="A141" s="372" t="s">
        <v>716</v>
      </c>
      <c r="B141" s="84" t="s">
        <v>3</v>
      </c>
      <c r="C141" s="84" t="s">
        <v>4</v>
      </c>
      <c r="D141" s="84" t="s">
        <v>5</v>
      </c>
      <c r="E141" s="85" t="s">
        <v>6</v>
      </c>
      <c r="F141" s="86" t="s">
        <v>7</v>
      </c>
    </row>
    <row r="142" spans="1:7" ht="13.5" thickTop="1">
      <c r="A142" s="17">
        <v>1</v>
      </c>
      <c r="B142" s="135" t="s">
        <v>183</v>
      </c>
      <c r="C142" s="133" t="s">
        <v>43</v>
      </c>
      <c r="D142" s="88">
        <v>1.23</v>
      </c>
      <c r="E142" s="242">
        <v>15</v>
      </c>
      <c r="F142" s="58">
        <f>E142*D142</f>
        <v>18.45</v>
      </c>
    </row>
    <row r="143" spans="1:7">
      <c r="A143" s="184">
        <v>2</v>
      </c>
      <c r="B143" s="96" t="s">
        <v>8</v>
      </c>
      <c r="C143" s="185" t="s">
        <v>70</v>
      </c>
      <c r="D143" s="88">
        <v>1.23</v>
      </c>
      <c r="E143" s="243">
        <v>4.32</v>
      </c>
      <c r="F143" s="187">
        <f>(E143*D143)</f>
        <v>5.3136000000000001</v>
      </c>
    </row>
    <row r="144" spans="1:7">
      <c r="A144" s="184"/>
      <c r="B144" s="91" t="s">
        <v>69</v>
      </c>
      <c r="C144" s="185"/>
      <c r="D144" s="93">
        <v>0.34</v>
      </c>
      <c r="E144" s="243">
        <v>1000</v>
      </c>
      <c r="F144" s="187">
        <f t="shared" ref="F144:F177" si="4">(E144*D144)</f>
        <v>340</v>
      </c>
    </row>
    <row r="145" spans="1:6">
      <c r="A145" s="17">
        <v>3</v>
      </c>
      <c r="B145" s="95" t="s">
        <v>11</v>
      </c>
      <c r="C145" s="185" t="s">
        <v>70</v>
      </c>
      <c r="D145" s="88">
        <v>1.23</v>
      </c>
      <c r="E145" s="243">
        <v>2.3199999999999998</v>
      </c>
      <c r="F145" s="187">
        <f t="shared" si="4"/>
        <v>2.8535999999999997</v>
      </c>
    </row>
    <row r="146" spans="1:6">
      <c r="A146" s="17">
        <v>4</v>
      </c>
      <c r="B146" s="95" t="s">
        <v>288</v>
      </c>
      <c r="C146" s="133" t="s">
        <v>330</v>
      </c>
      <c r="D146" s="88">
        <v>1.23</v>
      </c>
      <c r="E146" s="242">
        <v>10.56</v>
      </c>
      <c r="F146" s="187">
        <f t="shared" si="4"/>
        <v>12.988800000000001</v>
      </c>
    </row>
    <row r="147" spans="1:6">
      <c r="A147" s="17">
        <v>5</v>
      </c>
      <c r="B147" s="96" t="s">
        <v>8</v>
      </c>
      <c r="C147" s="133" t="s">
        <v>45</v>
      </c>
      <c r="D147" s="88">
        <v>1.23</v>
      </c>
      <c r="E147" s="242">
        <v>2.16</v>
      </c>
      <c r="F147" s="187">
        <f t="shared" si="4"/>
        <v>2.6568000000000001</v>
      </c>
    </row>
    <row r="148" spans="1:6">
      <c r="A148" s="17"/>
      <c r="B148" s="91" t="s">
        <v>19</v>
      </c>
      <c r="C148" s="133"/>
      <c r="D148" s="97">
        <v>0.26</v>
      </c>
      <c r="E148" s="242">
        <v>500</v>
      </c>
      <c r="F148" s="187">
        <f t="shared" si="4"/>
        <v>130</v>
      </c>
    </row>
    <row r="149" spans="1:6">
      <c r="A149" s="17">
        <v>6</v>
      </c>
      <c r="B149" s="95" t="s">
        <v>11</v>
      </c>
      <c r="C149" s="133" t="s">
        <v>45</v>
      </c>
      <c r="D149" s="88">
        <v>1.32</v>
      </c>
      <c r="E149" s="242">
        <v>1.1599999999999999</v>
      </c>
      <c r="F149" s="187">
        <f t="shared" si="4"/>
        <v>1.5311999999999999</v>
      </c>
    </row>
    <row r="150" spans="1:6">
      <c r="A150" s="17">
        <v>7</v>
      </c>
      <c r="B150" s="96" t="s">
        <v>331</v>
      </c>
      <c r="C150" s="133" t="s">
        <v>311</v>
      </c>
      <c r="D150" s="88">
        <v>1.32</v>
      </c>
      <c r="E150" s="244">
        <v>7.8</v>
      </c>
      <c r="F150" s="187">
        <f t="shared" si="4"/>
        <v>10.295999999999999</v>
      </c>
    </row>
    <row r="151" spans="1:6">
      <c r="A151" s="17">
        <v>8</v>
      </c>
      <c r="B151" s="96" t="s">
        <v>332</v>
      </c>
      <c r="C151" s="133" t="s">
        <v>311</v>
      </c>
      <c r="D151" s="88">
        <v>1.32</v>
      </c>
      <c r="E151" s="242">
        <v>9.1999999999999993</v>
      </c>
      <c r="F151" s="187">
        <f t="shared" si="4"/>
        <v>12.144</v>
      </c>
    </row>
    <row r="152" spans="1:6">
      <c r="A152" s="17"/>
      <c r="B152" s="95" t="s">
        <v>333</v>
      </c>
      <c r="C152" s="136" t="s">
        <v>18</v>
      </c>
      <c r="D152" s="137">
        <v>4.4400000000000004</v>
      </c>
      <c r="E152" s="215">
        <v>5</v>
      </c>
      <c r="F152" s="187">
        <f t="shared" si="4"/>
        <v>22.200000000000003</v>
      </c>
    </row>
    <row r="153" spans="1:6">
      <c r="A153" s="17"/>
      <c r="B153" s="95" t="s">
        <v>282</v>
      </c>
      <c r="C153" s="136"/>
      <c r="D153" s="137">
        <v>10.01</v>
      </c>
      <c r="E153" s="215">
        <v>6</v>
      </c>
      <c r="F153" s="187">
        <f t="shared" si="4"/>
        <v>60.06</v>
      </c>
    </row>
    <row r="154" spans="1:6">
      <c r="A154" s="17"/>
      <c r="B154" s="95" t="s">
        <v>314</v>
      </c>
      <c r="C154" s="136" t="s">
        <v>70</v>
      </c>
      <c r="D154" s="139">
        <v>12.11</v>
      </c>
      <c r="E154" s="215">
        <v>1</v>
      </c>
      <c r="F154" s="187">
        <f t="shared" si="4"/>
        <v>12.11</v>
      </c>
    </row>
    <row r="155" spans="1:6">
      <c r="A155" s="17"/>
      <c r="B155" s="95" t="s">
        <v>137</v>
      </c>
      <c r="C155" s="136"/>
      <c r="D155" s="139">
        <v>6.46</v>
      </c>
      <c r="E155" s="215">
        <v>2.5</v>
      </c>
      <c r="F155" s="187">
        <f t="shared" si="4"/>
        <v>16.149999999999999</v>
      </c>
    </row>
    <row r="156" spans="1:6">
      <c r="A156" s="17"/>
      <c r="B156" s="95" t="s">
        <v>315</v>
      </c>
      <c r="C156" s="136"/>
      <c r="D156" s="139">
        <v>141.30000000000001</v>
      </c>
      <c r="E156" s="215">
        <v>0.2</v>
      </c>
      <c r="F156" s="187">
        <f t="shared" si="4"/>
        <v>28.260000000000005</v>
      </c>
    </row>
    <row r="157" spans="1:6">
      <c r="A157" s="17"/>
      <c r="B157" s="95" t="s">
        <v>316</v>
      </c>
      <c r="C157" s="136" t="s">
        <v>45</v>
      </c>
      <c r="D157" s="139">
        <v>113.04</v>
      </c>
      <c r="E157" s="215">
        <v>0.2</v>
      </c>
      <c r="F157" s="187">
        <f t="shared" si="4"/>
        <v>22.608000000000004</v>
      </c>
    </row>
    <row r="158" spans="1:6">
      <c r="A158" s="17"/>
      <c r="B158" s="95" t="s">
        <v>284</v>
      </c>
      <c r="C158" s="136"/>
      <c r="D158" s="218">
        <v>9.19</v>
      </c>
      <c r="E158" s="215">
        <v>1.5</v>
      </c>
      <c r="F158" s="187">
        <f t="shared" si="4"/>
        <v>13.785</v>
      </c>
    </row>
    <row r="159" spans="1:6">
      <c r="A159" s="17"/>
      <c r="B159" s="95" t="s">
        <v>334</v>
      </c>
      <c r="C159" s="136" t="s">
        <v>45</v>
      </c>
      <c r="D159" s="218">
        <v>25.03</v>
      </c>
      <c r="E159" s="215">
        <v>0.08</v>
      </c>
      <c r="F159" s="187">
        <f t="shared" si="4"/>
        <v>2.0024000000000002</v>
      </c>
    </row>
    <row r="160" spans="1:6">
      <c r="A160" s="17"/>
      <c r="B160" s="95" t="s">
        <v>137</v>
      </c>
      <c r="C160" s="136"/>
      <c r="D160" s="139">
        <v>6.46</v>
      </c>
      <c r="E160" s="215">
        <v>2.5</v>
      </c>
      <c r="F160" s="187">
        <f t="shared" si="4"/>
        <v>16.149999999999999</v>
      </c>
    </row>
    <row r="161" spans="1:6">
      <c r="A161" s="17"/>
      <c r="B161" s="95" t="s">
        <v>284</v>
      </c>
      <c r="C161" s="136"/>
      <c r="D161" s="139">
        <v>9.19</v>
      </c>
      <c r="E161" s="215">
        <v>1.5</v>
      </c>
      <c r="F161" s="187">
        <f t="shared" si="4"/>
        <v>13.785</v>
      </c>
    </row>
    <row r="162" spans="1:6">
      <c r="A162" s="17"/>
      <c r="B162" s="95" t="s">
        <v>318</v>
      </c>
      <c r="C162" s="136" t="s">
        <v>21</v>
      </c>
      <c r="D162" s="139">
        <v>6.46</v>
      </c>
      <c r="E162" s="215">
        <v>2.5</v>
      </c>
      <c r="F162" s="187">
        <f t="shared" si="4"/>
        <v>16.149999999999999</v>
      </c>
    </row>
    <row r="163" spans="1:6">
      <c r="A163" s="17"/>
      <c r="B163" s="95" t="s">
        <v>324</v>
      </c>
      <c r="C163" s="136"/>
      <c r="D163" s="218">
        <v>11.71</v>
      </c>
      <c r="E163" s="215">
        <v>3</v>
      </c>
      <c r="F163" s="187">
        <f t="shared" si="4"/>
        <v>35.130000000000003</v>
      </c>
    </row>
    <row r="164" spans="1:6">
      <c r="A164" s="17"/>
      <c r="B164" s="95" t="s">
        <v>319</v>
      </c>
      <c r="C164" s="136"/>
      <c r="D164" s="139">
        <v>12.11</v>
      </c>
      <c r="E164" s="215">
        <v>1</v>
      </c>
      <c r="F164" s="187">
        <f t="shared" si="4"/>
        <v>12.11</v>
      </c>
    </row>
    <row r="165" spans="1:6">
      <c r="A165" s="17"/>
      <c r="B165" s="95" t="s">
        <v>320</v>
      </c>
      <c r="C165" s="136" t="s">
        <v>54</v>
      </c>
      <c r="D165" s="139">
        <v>72.67</v>
      </c>
      <c r="E165" s="215">
        <v>0.25</v>
      </c>
      <c r="F165" s="187">
        <f t="shared" si="4"/>
        <v>18.1675</v>
      </c>
    </row>
    <row r="166" spans="1:6">
      <c r="A166" s="17"/>
      <c r="B166" s="95" t="s">
        <v>324</v>
      </c>
      <c r="C166" s="136"/>
      <c r="D166" s="218">
        <v>11.71</v>
      </c>
      <c r="E166" s="215">
        <v>3</v>
      </c>
      <c r="F166" s="187">
        <f t="shared" si="4"/>
        <v>35.130000000000003</v>
      </c>
    </row>
    <row r="167" spans="1:6">
      <c r="A167" s="17"/>
      <c r="B167" s="95" t="s">
        <v>321</v>
      </c>
      <c r="C167" s="136" t="s">
        <v>54</v>
      </c>
      <c r="D167" s="139">
        <v>6.46</v>
      </c>
      <c r="E167" s="215">
        <v>2.5</v>
      </c>
      <c r="F167" s="187">
        <f t="shared" si="4"/>
        <v>16.149999999999999</v>
      </c>
    </row>
    <row r="168" spans="1:6">
      <c r="A168" s="17"/>
      <c r="B168" s="95" t="s">
        <v>322</v>
      </c>
      <c r="C168" s="136"/>
      <c r="D168" s="218">
        <v>72.67</v>
      </c>
      <c r="E168" s="215">
        <v>0.25</v>
      </c>
      <c r="F168" s="187">
        <f t="shared" si="4"/>
        <v>18.1675</v>
      </c>
    </row>
    <row r="169" spans="1:6">
      <c r="A169" s="17"/>
      <c r="B169" s="95" t="s">
        <v>319</v>
      </c>
      <c r="C169" s="136"/>
      <c r="D169" s="137">
        <v>12.11</v>
      </c>
      <c r="E169" s="215">
        <v>1</v>
      </c>
      <c r="F169" s="187">
        <f t="shared" si="4"/>
        <v>12.11</v>
      </c>
    </row>
    <row r="170" spans="1:6">
      <c r="A170" s="17"/>
      <c r="B170" s="95" t="s">
        <v>335</v>
      </c>
      <c r="C170" s="136" t="s">
        <v>34</v>
      </c>
      <c r="D170" s="139">
        <v>72.67</v>
      </c>
      <c r="E170" s="215">
        <v>0.25</v>
      </c>
      <c r="F170" s="187">
        <f t="shared" si="4"/>
        <v>18.1675</v>
      </c>
    </row>
    <row r="171" spans="1:6">
      <c r="A171" s="17"/>
      <c r="B171" s="95" t="s">
        <v>324</v>
      </c>
      <c r="C171" s="136"/>
      <c r="D171" s="218">
        <v>11.71</v>
      </c>
      <c r="E171" s="215">
        <v>3</v>
      </c>
      <c r="F171" s="187">
        <f t="shared" si="4"/>
        <v>35.130000000000003</v>
      </c>
    </row>
    <row r="172" spans="1:6">
      <c r="A172" s="17"/>
      <c r="B172" s="95" t="s">
        <v>695</v>
      </c>
      <c r="C172" s="136"/>
      <c r="D172" s="218">
        <v>15.5</v>
      </c>
      <c r="E172" s="215">
        <v>2</v>
      </c>
      <c r="F172" s="187">
        <f t="shared" si="4"/>
        <v>31</v>
      </c>
    </row>
    <row r="173" spans="1:6">
      <c r="A173" s="17"/>
      <c r="B173" s="95" t="s">
        <v>325</v>
      </c>
      <c r="C173" s="136"/>
      <c r="D173" s="218">
        <v>24.44</v>
      </c>
      <c r="E173" s="215">
        <v>1.5</v>
      </c>
      <c r="F173" s="187">
        <f t="shared" si="4"/>
        <v>36.660000000000004</v>
      </c>
    </row>
    <row r="174" spans="1:6">
      <c r="A174" s="17"/>
      <c r="B174" s="95" t="s">
        <v>326</v>
      </c>
      <c r="C174" s="136" t="s">
        <v>34</v>
      </c>
      <c r="D174" s="139">
        <v>6.46</v>
      </c>
      <c r="E174" s="215">
        <v>2.5</v>
      </c>
      <c r="F174" s="187">
        <f t="shared" si="4"/>
        <v>16.149999999999999</v>
      </c>
    </row>
    <row r="175" spans="1:6">
      <c r="A175" s="17"/>
      <c r="B175" s="95" t="s">
        <v>319</v>
      </c>
      <c r="C175" s="136"/>
      <c r="D175" s="139">
        <v>12.11</v>
      </c>
      <c r="E175" s="215">
        <v>1</v>
      </c>
      <c r="F175" s="187">
        <f t="shared" si="4"/>
        <v>12.11</v>
      </c>
    </row>
    <row r="176" spans="1:6">
      <c r="A176" s="17"/>
      <c r="B176" s="95" t="s">
        <v>336</v>
      </c>
      <c r="C176" s="136" t="s">
        <v>96</v>
      </c>
      <c r="D176" s="139">
        <v>141.30000000000001</v>
      </c>
      <c r="E176" s="215">
        <v>0.2</v>
      </c>
      <c r="F176" s="187">
        <f t="shared" si="4"/>
        <v>28.260000000000005</v>
      </c>
    </row>
    <row r="177" spans="1:7" ht="13.5" thickBot="1">
      <c r="A177" s="30">
        <v>9</v>
      </c>
      <c r="B177" s="165" t="s">
        <v>337</v>
      </c>
      <c r="C177" s="166" t="s">
        <v>202</v>
      </c>
      <c r="D177" s="107">
        <v>1.23</v>
      </c>
      <c r="E177" s="220">
        <v>20</v>
      </c>
      <c r="F177" s="109">
        <f t="shared" si="4"/>
        <v>24.6</v>
      </c>
    </row>
    <row r="178" spans="1:7" ht="12.75" customHeight="1">
      <c r="A178" s="454" t="s">
        <v>30</v>
      </c>
      <c r="B178" s="455"/>
      <c r="C178" s="110"/>
      <c r="D178" s="88"/>
      <c r="E178" s="129"/>
      <c r="F178" s="130">
        <f>SUM(F142:F177)</f>
        <v>1108.5368999999998</v>
      </c>
      <c r="G178" s="240">
        <f>F138*F178</f>
        <v>0</v>
      </c>
    </row>
    <row r="179" spans="1:7" ht="13.5" customHeight="1" thickBot="1">
      <c r="A179" s="467" t="s">
        <v>31</v>
      </c>
      <c r="B179" s="468"/>
      <c r="C179" s="469"/>
      <c r="D179" s="142"/>
      <c r="E179" s="116">
        <f>E142+E143+E145+E146+E147+E149+E150+E151+E177</f>
        <v>72.52</v>
      </c>
      <c r="F179" s="68"/>
      <c r="G179" s="118" t="s">
        <v>277</v>
      </c>
    </row>
    <row r="180" spans="1:7" ht="13.5" thickBot="1"/>
    <row r="181" spans="1:7" ht="12" customHeight="1">
      <c r="A181" s="456" t="s">
        <v>32</v>
      </c>
      <c r="B181" s="457"/>
      <c r="C181" s="457"/>
      <c r="D181" s="457"/>
      <c r="E181" s="457"/>
      <c r="F181" s="458"/>
    </row>
    <row r="182" spans="1:7" ht="15" customHeight="1">
      <c r="A182" s="459"/>
      <c r="B182" s="460"/>
      <c r="C182" s="460"/>
      <c r="D182" s="460"/>
      <c r="E182" s="460"/>
      <c r="F182" s="461"/>
    </row>
    <row r="183" spans="1:7" ht="15" customHeight="1" thickBot="1">
      <c r="A183" s="462"/>
      <c r="B183" s="463"/>
      <c r="C183" s="463"/>
      <c r="D183" s="463"/>
      <c r="E183" s="463"/>
      <c r="F183" s="464"/>
    </row>
    <row r="184" spans="1:7" ht="13.5" thickBot="1"/>
    <row r="185" spans="1:7" ht="13.5" thickBot="1">
      <c r="B185" s="2" t="s">
        <v>338</v>
      </c>
      <c r="D185" s="470" t="s">
        <v>1</v>
      </c>
      <c r="E185" s="471"/>
      <c r="F185" s="81">
        <v>0</v>
      </c>
    </row>
    <row r="186" spans="1:7" ht="11.25" customHeight="1" thickBot="1"/>
    <row r="187" spans="1:7" ht="11.25" customHeight="1">
      <c r="A187" s="472" t="s">
        <v>276</v>
      </c>
      <c r="B187" s="473"/>
      <c r="C187" s="473"/>
      <c r="D187" s="473"/>
      <c r="E187" s="465" t="s">
        <v>2</v>
      </c>
      <c r="F187" s="466"/>
    </row>
    <row r="188" spans="1:7" ht="51.75" thickBot="1">
      <c r="A188" s="372" t="s">
        <v>716</v>
      </c>
      <c r="B188" s="84" t="s">
        <v>3</v>
      </c>
      <c r="C188" s="84" t="s">
        <v>4</v>
      </c>
      <c r="D188" s="84" t="s">
        <v>5</v>
      </c>
      <c r="E188" s="85" t="s">
        <v>6</v>
      </c>
      <c r="F188" s="86" t="s">
        <v>7</v>
      </c>
    </row>
    <row r="189" spans="1:7" ht="13.5" thickTop="1">
      <c r="A189" s="17">
        <v>1</v>
      </c>
      <c r="B189" s="135" t="s">
        <v>183</v>
      </c>
      <c r="C189" s="133" t="s">
        <v>43</v>
      </c>
      <c r="D189" s="88">
        <v>1.23</v>
      </c>
      <c r="E189" s="134">
        <v>17.579999999999998</v>
      </c>
      <c r="F189" s="58">
        <f>E189*D189</f>
        <v>21.623399999999997</v>
      </c>
    </row>
    <row r="190" spans="1:7">
      <c r="A190" s="184">
        <v>2</v>
      </c>
      <c r="B190" s="96" t="s">
        <v>8</v>
      </c>
      <c r="C190" s="185" t="s">
        <v>70</v>
      </c>
      <c r="D190" s="88">
        <v>1.23</v>
      </c>
      <c r="E190" s="186">
        <v>3.46</v>
      </c>
      <c r="F190" s="187">
        <f>(E190*D190)</f>
        <v>4.2557999999999998</v>
      </c>
    </row>
    <row r="191" spans="1:7">
      <c r="A191" s="184"/>
      <c r="B191" s="91" t="s">
        <v>69</v>
      </c>
      <c r="C191" s="185"/>
      <c r="D191" s="93">
        <v>0.34</v>
      </c>
      <c r="E191" s="186">
        <v>800</v>
      </c>
      <c r="F191" s="187">
        <f t="shared" ref="F191:F211" si="5">(E191*D191)</f>
        <v>272</v>
      </c>
    </row>
    <row r="192" spans="1:7">
      <c r="A192" s="17">
        <v>3</v>
      </c>
      <c r="B192" s="95" t="s">
        <v>11</v>
      </c>
      <c r="C192" s="185" t="s">
        <v>70</v>
      </c>
      <c r="D192" s="88">
        <v>1.23</v>
      </c>
      <c r="E192" s="186">
        <v>1.1599999999999999</v>
      </c>
      <c r="F192" s="187">
        <f t="shared" si="5"/>
        <v>1.4267999999999998</v>
      </c>
    </row>
    <row r="193" spans="1:6">
      <c r="A193" s="17">
        <v>4</v>
      </c>
      <c r="B193" s="95" t="s">
        <v>288</v>
      </c>
      <c r="C193" s="133" t="s">
        <v>330</v>
      </c>
      <c r="D193" s="88">
        <v>1.23</v>
      </c>
      <c r="E193" s="134">
        <v>10.56</v>
      </c>
      <c r="F193" s="187">
        <f t="shared" si="5"/>
        <v>12.988800000000001</v>
      </c>
    </row>
    <row r="194" spans="1:6">
      <c r="A194" s="17">
        <v>5</v>
      </c>
      <c r="B194" s="96" t="s">
        <v>8</v>
      </c>
      <c r="C194" s="133" t="s">
        <v>45</v>
      </c>
      <c r="D194" s="88">
        <v>1.23</v>
      </c>
      <c r="E194" s="134">
        <v>1.3</v>
      </c>
      <c r="F194" s="187">
        <f t="shared" si="5"/>
        <v>1.599</v>
      </c>
    </row>
    <row r="195" spans="1:6">
      <c r="A195" s="17"/>
      <c r="B195" s="91" t="s">
        <v>19</v>
      </c>
      <c r="C195" s="133"/>
      <c r="D195" s="97">
        <v>0.26</v>
      </c>
      <c r="E195" s="134">
        <v>300</v>
      </c>
      <c r="F195" s="187">
        <f t="shared" si="5"/>
        <v>78</v>
      </c>
    </row>
    <row r="196" spans="1:6">
      <c r="A196" s="17">
        <v>6</v>
      </c>
      <c r="B196" s="95" t="s">
        <v>11</v>
      </c>
      <c r="C196" s="133" t="s">
        <v>45</v>
      </c>
      <c r="D196" s="88">
        <v>1.23</v>
      </c>
      <c r="E196" s="134">
        <v>1.1599999999999999</v>
      </c>
      <c r="F196" s="187">
        <f t="shared" si="5"/>
        <v>1.4267999999999998</v>
      </c>
    </row>
    <row r="197" spans="1:6">
      <c r="A197" s="17">
        <v>7</v>
      </c>
      <c r="B197" s="96" t="s">
        <v>339</v>
      </c>
      <c r="C197" s="133" t="s">
        <v>311</v>
      </c>
      <c r="D197" s="88">
        <v>1.23</v>
      </c>
      <c r="E197" s="209">
        <v>6.24</v>
      </c>
      <c r="F197" s="187">
        <f t="shared" si="5"/>
        <v>7.6752000000000002</v>
      </c>
    </row>
    <row r="198" spans="1:6">
      <c r="A198" s="17">
        <v>8</v>
      </c>
      <c r="B198" s="96" t="s">
        <v>340</v>
      </c>
      <c r="C198" s="133" t="s">
        <v>311</v>
      </c>
      <c r="D198" s="88">
        <v>1.23</v>
      </c>
      <c r="E198" s="134">
        <v>7.36</v>
      </c>
      <c r="F198" s="187">
        <f t="shared" si="5"/>
        <v>9.0527999999999995</v>
      </c>
    </row>
    <row r="199" spans="1:6">
      <c r="A199" s="17"/>
      <c r="B199" s="96" t="s">
        <v>304</v>
      </c>
      <c r="C199" s="133" t="s">
        <v>18</v>
      </c>
      <c r="D199" s="104">
        <v>10.01</v>
      </c>
      <c r="E199" s="134">
        <v>6</v>
      </c>
      <c r="F199" s="187">
        <f t="shared" si="5"/>
        <v>60.06</v>
      </c>
    </row>
    <row r="200" spans="1:6">
      <c r="A200" s="17"/>
      <c r="B200" s="96" t="s">
        <v>341</v>
      </c>
      <c r="C200" s="136"/>
      <c r="D200" s="104">
        <v>2.66</v>
      </c>
      <c r="E200" s="134">
        <v>3.5</v>
      </c>
      <c r="F200" s="187">
        <f t="shared" si="5"/>
        <v>9.31</v>
      </c>
    </row>
    <row r="201" spans="1:6">
      <c r="A201" s="17"/>
      <c r="B201" s="96" t="s">
        <v>314</v>
      </c>
      <c r="C201" s="136" t="s">
        <v>70</v>
      </c>
      <c r="D201" s="88">
        <v>12.11</v>
      </c>
      <c r="E201" s="134">
        <v>1</v>
      </c>
      <c r="F201" s="187">
        <f t="shared" si="5"/>
        <v>12.11</v>
      </c>
    </row>
    <row r="202" spans="1:6">
      <c r="A202" s="17"/>
      <c r="B202" s="96" t="s">
        <v>342</v>
      </c>
      <c r="C202" s="136" t="s">
        <v>45</v>
      </c>
      <c r="D202" s="88">
        <v>141.30000000000001</v>
      </c>
      <c r="E202" s="134">
        <v>0.2</v>
      </c>
      <c r="F202" s="187">
        <f t="shared" si="5"/>
        <v>28.260000000000005</v>
      </c>
    </row>
    <row r="203" spans="1:6">
      <c r="A203" s="17"/>
      <c r="B203" s="96" t="s">
        <v>137</v>
      </c>
      <c r="C203" s="136"/>
      <c r="D203" s="88">
        <v>6.46</v>
      </c>
      <c r="E203" s="134">
        <v>2.5</v>
      </c>
      <c r="F203" s="187">
        <f t="shared" si="5"/>
        <v>16.149999999999999</v>
      </c>
    </row>
    <row r="204" spans="1:6">
      <c r="A204" s="17"/>
      <c r="B204" s="96" t="s">
        <v>154</v>
      </c>
      <c r="C204" s="136" t="s">
        <v>21</v>
      </c>
      <c r="D204" s="88">
        <v>111.02</v>
      </c>
      <c r="E204" s="134">
        <v>0.4</v>
      </c>
      <c r="F204" s="187">
        <f t="shared" si="5"/>
        <v>44.408000000000001</v>
      </c>
    </row>
    <row r="205" spans="1:6">
      <c r="A205" s="17"/>
      <c r="B205" s="96" t="s">
        <v>343</v>
      </c>
      <c r="C205" s="136"/>
      <c r="D205" s="88">
        <v>26.24</v>
      </c>
      <c r="E205" s="134">
        <v>1</v>
      </c>
      <c r="F205" s="187">
        <f t="shared" si="5"/>
        <v>26.24</v>
      </c>
    </row>
    <row r="206" spans="1:6">
      <c r="A206" s="17"/>
      <c r="B206" s="96" t="s">
        <v>344</v>
      </c>
      <c r="C206" s="136" t="s">
        <v>54</v>
      </c>
      <c r="D206" s="88">
        <v>292.69</v>
      </c>
      <c r="E206" s="134">
        <v>0.02</v>
      </c>
      <c r="F206" s="187">
        <f t="shared" si="5"/>
        <v>5.8537999999999997</v>
      </c>
    </row>
    <row r="207" spans="1:6">
      <c r="A207" s="17"/>
      <c r="B207" s="96" t="s">
        <v>345</v>
      </c>
      <c r="C207" s="136"/>
      <c r="D207" s="88">
        <v>75.819999999999993</v>
      </c>
      <c r="E207" s="134">
        <v>0.45</v>
      </c>
      <c r="F207" s="187">
        <f t="shared" si="5"/>
        <v>34.119</v>
      </c>
    </row>
    <row r="208" spans="1:6">
      <c r="A208" s="17"/>
      <c r="B208" s="96" t="s">
        <v>346</v>
      </c>
      <c r="C208" s="136" t="s">
        <v>34</v>
      </c>
      <c r="D208" s="88">
        <v>33.1</v>
      </c>
      <c r="E208" s="134">
        <v>0.2</v>
      </c>
      <c r="F208" s="187">
        <f t="shared" si="5"/>
        <v>6.620000000000001</v>
      </c>
    </row>
    <row r="209" spans="1:7">
      <c r="A209" s="17"/>
      <c r="B209" s="96" t="s">
        <v>347</v>
      </c>
      <c r="C209" s="136" t="s">
        <v>34</v>
      </c>
      <c r="D209" s="218">
        <v>72.67</v>
      </c>
      <c r="E209" s="134">
        <v>0.2</v>
      </c>
      <c r="F209" s="187">
        <f t="shared" si="5"/>
        <v>14.534000000000001</v>
      </c>
    </row>
    <row r="210" spans="1:7">
      <c r="A210" s="184"/>
      <c r="B210" s="193" t="s">
        <v>348</v>
      </c>
      <c r="C210" s="136" t="s">
        <v>96</v>
      </c>
      <c r="D210" s="104">
        <v>190.75</v>
      </c>
      <c r="E210" s="245">
        <v>0.8</v>
      </c>
      <c r="F210" s="187">
        <f t="shared" si="5"/>
        <v>152.6</v>
      </c>
    </row>
    <row r="211" spans="1:7" ht="13.5" thickBot="1">
      <c r="A211" s="30">
        <v>9</v>
      </c>
      <c r="B211" s="105" t="s">
        <v>349</v>
      </c>
      <c r="C211" s="199" t="s">
        <v>202</v>
      </c>
      <c r="D211" s="107">
        <v>1.23</v>
      </c>
      <c r="E211" s="108">
        <v>20</v>
      </c>
      <c r="F211" s="109">
        <f t="shared" si="5"/>
        <v>24.6</v>
      </c>
    </row>
    <row r="212" spans="1:7">
      <c r="A212" s="454" t="s">
        <v>30</v>
      </c>
      <c r="B212" s="455"/>
      <c r="C212" s="110"/>
      <c r="D212" s="202"/>
      <c r="E212" s="203"/>
      <c r="F212" s="204">
        <f>SUM(F189:F211)</f>
        <v>844.91340000000014</v>
      </c>
      <c r="G212" s="240">
        <f>F185*F212</f>
        <v>0</v>
      </c>
    </row>
    <row r="213" spans="1:7" ht="13.5" thickBot="1">
      <c r="A213" s="467" t="s">
        <v>31</v>
      </c>
      <c r="B213" s="468"/>
      <c r="C213" s="469"/>
      <c r="D213" s="105"/>
      <c r="E213" s="205">
        <f>E189+E190+E192+E193+E194+E196+E197+E198+E211</f>
        <v>68.819999999999993</v>
      </c>
      <c r="F213" s="206"/>
      <c r="G213" s="118" t="s">
        <v>277</v>
      </c>
    </row>
    <row r="214" spans="1:7" ht="13.5" thickBot="1"/>
    <row r="215" spans="1:7" ht="12" customHeight="1">
      <c r="A215" s="456" t="s">
        <v>32</v>
      </c>
      <c r="B215" s="457"/>
      <c r="C215" s="457"/>
      <c r="D215" s="457"/>
      <c r="E215" s="457"/>
      <c r="F215" s="458"/>
    </row>
    <row r="216" spans="1:7" ht="15" customHeight="1">
      <c r="A216" s="459"/>
      <c r="B216" s="460"/>
      <c r="C216" s="460"/>
      <c r="D216" s="460"/>
      <c r="E216" s="460"/>
      <c r="F216" s="461"/>
    </row>
    <row r="217" spans="1:7" ht="15" customHeight="1" thickBot="1">
      <c r="A217" s="462"/>
      <c r="B217" s="463"/>
      <c r="C217" s="463"/>
      <c r="D217" s="463"/>
      <c r="E217" s="463"/>
      <c r="F217" s="464"/>
    </row>
    <row r="218" spans="1:7" ht="13.5" thickBot="1"/>
    <row r="219" spans="1:7" ht="13.5" customHeight="1" thickBot="1">
      <c r="B219" s="2" t="s">
        <v>350</v>
      </c>
      <c r="D219" s="470" t="s">
        <v>1</v>
      </c>
      <c r="E219" s="471"/>
      <c r="F219" s="81">
        <v>0</v>
      </c>
    </row>
    <row r="220" spans="1:7" ht="13.5" thickBot="1"/>
    <row r="221" spans="1:7" ht="11.25" customHeight="1">
      <c r="A221" s="472" t="s">
        <v>276</v>
      </c>
      <c r="B221" s="473"/>
      <c r="C221" s="473"/>
      <c r="D221" s="473"/>
      <c r="E221" s="465" t="s">
        <v>2</v>
      </c>
      <c r="F221" s="466"/>
    </row>
    <row r="222" spans="1:7" ht="51.75" thickBot="1">
      <c r="A222" s="372" t="s">
        <v>716</v>
      </c>
      <c r="B222" s="84" t="s">
        <v>3</v>
      </c>
      <c r="C222" s="84" t="s">
        <v>4</v>
      </c>
      <c r="D222" s="84" t="s">
        <v>5</v>
      </c>
      <c r="E222" s="85" t="s">
        <v>6</v>
      </c>
      <c r="F222" s="86" t="s">
        <v>7</v>
      </c>
    </row>
    <row r="223" spans="1:7" ht="13.5" thickTop="1">
      <c r="A223" s="17">
        <v>1</v>
      </c>
      <c r="B223" s="135" t="s">
        <v>183</v>
      </c>
      <c r="C223" s="133" t="s">
        <v>43</v>
      </c>
      <c r="D223" s="88">
        <v>1.23</v>
      </c>
      <c r="E223" s="134">
        <v>17.579999999999998</v>
      </c>
      <c r="F223" s="58">
        <f>E223*D223</f>
        <v>21.623399999999997</v>
      </c>
    </row>
    <row r="224" spans="1:7">
      <c r="A224" s="184">
        <v>2</v>
      </c>
      <c r="B224" s="96" t="s">
        <v>8</v>
      </c>
      <c r="C224" s="185" t="s">
        <v>70</v>
      </c>
      <c r="D224" s="88">
        <v>1.23</v>
      </c>
      <c r="E224" s="186">
        <v>1.73</v>
      </c>
      <c r="F224" s="187">
        <f>(E224*D224)</f>
        <v>2.1278999999999999</v>
      </c>
    </row>
    <row r="225" spans="1:7">
      <c r="A225" s="184"/>
      <c r="B225" s="91" t="s">
        <v>69</v>
      </c>
      <c r="C225" s="185"/>
      <c r="D225" s="93">
        <v>0.34</v>
      </c>
      <c r="E225" s="186">
        <v>400</v>
      </c>
      <c r="F225" s="187">
        <f t="shared" ref="F225:F236" si="6">(E225*D225)</f>
        <v>136</v>
      </c>
    </row>
    <row r="226" spans="1:7">
      <c r="A226" s="17">
        <v>3</v>
      </c>
      <c r="B226" s="95" t="s">
        <v>11</v>
      </c>
      <c r="C226" s="185" t="s">
        <v>70</v>
      </c>
      <c r="D226" s="88">
        <v>1.23</v>
      </c>
      <c r="E226" s="186">
        <v>1.1599999999999999</v>
      </c>
      <c r="F226" s="187">
        <f t="shared" si="6"/>
        <v>1.4267999999999998</v>
      </c>
    </row>
    <row r="227" spans="1:7">
      <c r="A227" s="17">
        <v>4</v>
      </c>
      <c r="B227" s="95" t="s">
        <v>288</v>
      </c>
      <c r="C227" s="133" t="s">
        <v>330</v>
      </c>
      <c r="D227" s="88">
        <v>1.23</v>
      </c>
      <c r="E227" s="134">
        <v>10.56</v>
      </c>
      <c r="F227" s="187">
        <f t="shared" si="6"/>
        <v>12.988800000000001</v>
      </c>
    </row>
    <row r="228" spans="1:7">
      <c r="A228" s="17">
        <v>5</v>
      </c>
      <c r="B228" s="96" t="s">
        <v>8</v>
      </c>
      <c r="C228" s="133" t="s">
        <v>45</v>
      </c>
      <c r="D228" s="88">
        <v>1.23</v>
      </c>
      <c r="E228" s="134">
        <v>0.86</v>
      </c>
      <c r="F228" s="187">
        <f t="shared" si="6"/>
        <v>1.0578000000000001</v>
      </c>
    </row>
    <row r="229" spans="1:7">
      <c r="A229" s="17"/>
      <c r="B229" s="91" t="s">
        <v>19</v>
      </c>
      <c r="C229" s="133"/>
      <c r="D229" s="97">
        <v>0.26</v>
      </c>
      <c r="E229" s="134">
        <v>200</v>
      </c>
      <c r="F229" s="187">
        <f t="shared" si="6"/>
        <v>52</v>
      </c>
    </row>
    <row r="230" spans="1:7">
      <c r="A230" s="17">
        <v>6</v>
      </c>
      <c r="B230" s="95" t="s">
        <v>11</v>
      </c>
      <c r="C230" s="133" t="s">
        <v>45</v>
      </c>
      <c r="D230" s="88">
        <v>1.23</v>
      </c>
      <c r="E230" s="134">
        <v>1.1599999999999999</v>
      </c>
      <c r="F230" s="187">
        <f t="shared" si="6"/>
        <v>1.4267999999999998</v>
      </c>
    </row>
    <row r="231" spans="1:7">
      <c r="A231" s="17">
        <v>7</v>
      </c>
      <c r="B231" s="96" t="s">
        <v>47</v>
      </c>
      <c r="C231" s="133" t="s">
        <v>129</v>
      </c>
      <c r="D231" s="88">
        <v>1.23</v>
      </c>
      <c r="E231" s="209">
        <v>1.56</v>
      </c>
      <c r="F231" s="187">
        <f t="shared" si="6"/>
        <v>1.9188000000000001</v>
      </c>
    </row>
    <row r="232" spans="1:7">
      <c r="A232" s="17">
        <v>8</v>
      </c>
      <c r="B232" s="96" t="s">
        <v>48</v>
      </c>
      <c r="C232" s="133" t="s">
        <v>129</v>
      </c>
      <c r="D232" s="88">
        <v>1.23</v>
      </c>
      <c r="E232" s="134">
        <v>1.84</v>
      </c>
      <c r="F232" s="187">
        <f t="shared" si="6"/>
        <v>2.2631999999999999</v>
      </c>
    </row>
    <row r="233" spans="1:7">
      <c r="A233" s="17"/>
      <c r="B233" s="96" t="s">
        <v>293</v>
      </c>
      <c r="C233" s="133" t="s">
        <v>18</v>
      </c>
      <c r="D233" s="174">
        <v>6.06</v>
      </c>
      <c r="E233" s="134">
        <v>20</v>
      </c>
      <c r="F233" s="187">
        <f t="shared" si="6"/>
        <v>121.19999999999999</v>
      </c>
    </row>
    <row r="234" spans="1:7">
      <c r="A234" s="17"/>
      <c r="B234" s="96" t="s">
        <v>137</v>
      </c>
      <c r="C234" s="136"/>
      <c r="D234" s="104">
        <v>6.46</v>
      </c>
      <c r="E234" s="134">
        <v>2.5</v>
      </c>
      <c r="F234" s="187">
        <f t="shared" si="6"/>
        <v>16.149999999999999</v>
      </c>
    </row>
    <row r="235" spans="1:7">
      <c r="A235" s="17"/>
      <c r="B235" s="96" t="s">
        <v>649</v>
      </c>
      <c r="C235" s="136" t="s">
        <v>21</v>
      </c>
      <c r="D235" s="218">
        <v>9.19</v>
      </c>
      <c r="E235" s="134">
        <v>3</v>
      </c>
      <c r="F235" s="187">
        <f t="shared" si="6"/>
        <v>27.57</v>
      </c>
    </row>
    <row r="236" spans="1:7" ht="13.5" thickBot="1">
      <c r="A236" s="30">
        <v>9</v>
      </c>
      <c r="B236" s="105" t="s">
        <v>351</v>
      </c>
      <c r="C236" s="140" t="s">
        <v>26</v>
      </c>
      <c r="D236" s="107">
        <v>1.23</v>
      </c>
      <c r="E236" s="116">
        <v>20</v>
      </c>
      <c r="F236" s="109">
        <f t="shared" si="6"/>
        <v>24.6</v>
      </c>
    </row>
    <row r="237" spans="1:7">
      <c r="A237" s="454" t="s">
        <v>30</v>
      </c>
      <c r="B237" s="455"/>
      <c r="C237" s="110"/>
      <c r="D237" s="202"/>
      <c r="E237" s="219"/>
      <c r="F237" s="204">
        <f>SUM(F223:F236)</f>
        <v>422.35349999999994</v>
      </c>
      <c r="G237" s="240">
        <f>F219*F237</f>
        <v>0</v>
      </c>
    </row>
    <row r="238" spans="1:7" ht="13.5" thickBot="1">
      <c r="A238" s="467" t="s">
        <v>31</v>
      </c>
      <c r="B238" s="468"/>
      <c r="C238" s="469"/>
      <c r="D238" s="105"/>
      <c r="E238" s="205">
        <f>E223+E224+E226+E227+E228+E230+E231+E232+E236</f>
        <v>56.45</v>
      </c>
      <c r="F238" s="206"/>
      <c r="G238" s="118" t="s">
        <v>277</v>
      </c>
    </row>
    <row r="239" spans="1:7" ht="13.5" thickBot="1"/>
    <row r="240" spans="1:7" ht="12" customHeight="1">
      <c r="A240" s="456" t="s">
        <v>32</v>
      </c>
      <c r="B240" s="457"/>
      <c r="C240" s="457"/>
      <c r="D240" s="457"/>
      <c r="E240" s="457"/>
      <c r="F240" s="458"/>
    </row>
    <row r="241" spans="1:6" ht="15" customHeight="1">
      <c r="A241" s="459"/>
      <c r="B241" s="460"/>
      <c r="C241" s="460"/>
      <c r="D241" s="460"/>
      <c r="E241" s="460"/>
      <c r="F241" s="461"/>
    </row>
    <row r="242" spans="1:6" ht="15" customHeight="1" thickBot="1">
      <c r="A242" s="462"/>
      <c r="B242" s="463"/>
      <c r="C242" s="463"/>
      <c r="D242" s="463"/>
      <c r="E242" s="463"/>
      <c r="F242" s="464"/>
    </row>
    <row r="243" spans="1:6" ht="13.5" thickBot="1"/>
    <row r="244" spans="1:6" ht="13.5" thickBot="1">
      <c r="B244" s="2" t="s">
        <v>352</v>
      </c>
      <c r="D244" s="470" t="s">
        <v>1</v>
      </c>
      <c r="E244" s="471"/>
      <c r="F244" s="81">
        <v>0</v>
      </c>
    </row>
    <row r="245" spans="1:6" ht="13.5" thickBot="1"/>
    <row r="246" spans="1:6" ht="11.25" customHeight="1">
      <c r="A246" s="472" t="s">
        <v>276</v>
      </c>
      <c r="B246" s="473"/>
      <c r="C246" s="473"/>
      <c r="D246" s="473"/>
      <c r="E246" s="465" t="s">
        <v>2</v>
      </c>
      <c r="F246" s="466"/>
    </row>
    <row r="247" spans="1:6" ht="51.75" thickBot="1">
      <c r="A247" s="372" t="s">
        <v>716</v>
      </c>
      <c r="B247" s="84" t="s">
        <v>3</v>
      </c>
      <c r="C247" s="84" t="s">
        <v>4</v>
      </c>
      <c r="D247" s="84" t="s">
        <v>5</v>
      </c>
      <c r="E247" s="85" t="s">
        <v>6</v>
      </c>
      <c r="F247" s="86" t="s">
        <v>7</v>
      </c>
    </row>
    <row r="248" spans="1:6" ht="13.5" thickTop="1">
      <c r="A248" s="17">
        <v>1</v>
      </c>
      <c r="B248" s="135" t="s">
        <v>183</v>
      </c>
      <c r="C248" s="133" t="s">
        <v>43</v>
      </c>
      <c r="D248" s="88">
        <v>1.23</v>
      </c>
      <c r="E248" s="134">
        <v>17.579999999999998</v>
      </c>
      <c r="F248" s="58">
        <f>E248*D248</f>
        <v>21.623399999999997</v>
      </c>
    </row>
    <row r="249" spans="1:6">
      <c r="A249" s="184">
        <v>2</v>
      </c>
      <c r="B249" s="96" t="s">
        <v>8</v>
      </c>
      <c r="C249" s="185" t="s">
        <v>70</v>
      </c>
      <c r="D249" s="88">
        <v>1.23</v>
      </c>
      <c r="E249" s="186">
        <v>2.16</v>
      </c>
      <c r="F249" s="187">
        <f>(E249*D249)</f>
        <v>2.6568000000000001</v>
      </c>
    </row>
    <row r="250" spans="1:6">
      <c r="A250" s="184"/>
      <c r="B250" s="91" t="s">
        <v>69</v>
      </c>
      <c r="C250" s="185"/>
      <c r="D250" s="93">
        <v>0.34</v>
      </c>
      <c r="E250" s="186">
        <v>500</v>
      </c>
      <c r="F250" s="187">
        <f t="shared" ref="F250:F277" si="7">(E250*D250)</f>
        <v>170</v>
      </c>
    </row>
    <row r="251" spans="1:6">
      <c r="A251" s="17">
        <v>3</v>
      </c>
      <c r="B251" s="95" t="s">
        <v>11</v>
      </c>
      <c r="C251" s="185" t="s">
        <v>70</v>
      </c>
      <c r="D251" s="88">
        <v>1.23</v>
      </c>
      <c r="E251" s="186">
        <v>1.1599999999999999</v>
      </c>
      <c r="F251" s="187">
        <f t="shared" si="7"/>
        <v>1.4267999999999998</v>
      </c>
    </row>
    <row r="252" spans="1:6">
      <c r="A252" s="17">
        <v>4</v>
      </c>
      <c r="B252" s="95" t="s">
        <v>288</v>
      </c>
      <c r="C252" s="133" t="s">
        <v>289</v>
      </c>
      <c r="D252" s="88">
        <v>1.23</v>
      </c>
      <c r="E252" s="134">
        <v>10.56</v>
      </c>
      <c r="F252" s="187">
        <f t="shared" si="7"/>
        <v>12.988800000000001</v>
      </c>
    </row>
    <row r="253" spans="1:6">
      <c r="A253" s="17">
        <v>5</v>
      </c>
      <c r="B253" s="96" t="s">
        <v>8</v>
      </c>
      <c r="C253" s="133" t="s">
        <v>45</v>
      </c>
      <c r="D253" s="88">
        <v>1.23</v>
      </c>
      <c r="E253" s="134">
        <v>2.16</v>
      </c>
      <c r="F253" s="187">
        <f t="shared" si="7"/>
        <v>2.6568000000000001</v>
      </c>
    </row>
    <row r="254" spans="1:6">
      <c r="A254" s="17"/>
      <c r="B254" s="91" t="s">
        <v>19</v>
      </c>
      <c r="C254" s="133"/>
      <c r="D254" s="97">
        <v>0.26</v>
      </c>
      <c r="E254" s="134">
        <v>500</v>
      </c>
      <c r="F254" s="187">
        <f t="shared" si="7"/>
        <v>130</v>
      </c>
    </row>
    <row r="255" spans="1:6">
      <c r="A255" s="17">
        <v>6</v>
      </c>
      <c r="B255" s="95" t="s">
        <v>11</v>
      </c>
      <c r="C255" s="133" t="s">
        <v>45</v>
      </c>
      <c r="D255" s="88">
        <v>1.23</v>
      </c>
      <c r="E255" s="134">
        <v>1.1599999999999999</v>
      </c>
      <c r="F255" s="187">
        <f t="shared" si="7"/>
        <v>1.4267999999999998</v>
      </c>
    </row>
    <row r="256" spans="1:6">
      <c r="A256" s="17">
        <v>7</v>
      </c>
      <c r="B256" s="96" t="s">
        <v>290</v>
      </c>
      <c r="C256" s="133" t="s">
        <v>353</v>
      </c>
      <c r="D256" s="88">
        <v>1.23</v>
      </c>
      <c r="E256" s="209">
        <v>5.46</v>
      </c>
      <c r="F256" s="187">
        <f t="shared" si="7"/>
        <v>6.7157999999999998</v>
      </c>
    </row>
    <row r="257" spans="1:6">
      <c r="A257" s="17">
        <v>8</v>
      </c>
      <c r="B257" s="96" t="s">
        <v>292</v>
      </c>
      <c r="C257" s="133" t="s">
        <v>353</v>
      </c>
      <c r="D257" s="88">
        <v>1.23</v>
      </c>
      <c r="E257" s="134">
        <v>6.44</v>
      </c>
      <c r="F257" s="187">
        <f t="shared" si="7"/>
        <v>7.9212000000000007</v>
      </c>
    </row>
    <row r="258" spans="1:6">
      <c r="A258" s="17"/>
      <c r="B258" s="96" t="s">
        <v>304</v>
      </c>
      <c r="C258" s="133" t="s">
        <v>70</v>
      </c>
      <c r="D258" s="104">
        <v>10.01</v>
      </c>
      <c r="E258" s="134">
        <v>5</v>
      </c>
      <c r="F258" s="187">
        <f t="shared" si="7"/>
        <v>50.05</v>
      </c>
    </row>
    <row r="259" spans="1:6">
      <c r="A259" s="17"/>
      <c r="B259" s="96" t="s">
        <v>354</v>
      </c>
      <c r="C259" s="136" t="s">
        <v>21</v>
      </c>
      <c r="D259" s="104">
        <v>25.13</v>
      </c>
      <c r="E259" s="134">
        <v>4</v>
      </c>
      <c r="F259" s="187">
        <f t="shared" si="7"/>
        <v>100.52</v>
      </c>
    </row>
    <row r="260" spans="1:6">
      <c r="A260" s="17"/>
      <c r="B260" s="96" t="s">
        <v>322</v>
      </c>
      <c r="C260" s="136"/>
      <c r="D260" s="218">
        <v>72.67</v>
      </c>
      <c r="E260" s="134">
        <v>0.25</v>
      </c>
      <c r="F260" s="187">
        <f t="shared" si="7"/>
        <v>18.1675</v>
      </c>
    </row>
    <row r="261" spans="1:6">
      <c r="A261" s="17"/>
      <c r="B261" s="96" t="s">
        <v>324</v>
      </c>
      <c r="C261" s="136"/>
      <c r="D261" s="88">
        <v>11.71</v>
      </c>
      <c r="E261" s="134">
        <v>2.5</v>
      </c>
      <c r="F261" s="187">
        <f t="shared" si="7"/>
        <v>29.275000000000002</v>
      </c>
    </row>
    <row r="262" spans="1:6">
      <c r="A262" s="17"/>
      <c r="B262" s="96" t="s">
        <v>355</v>
      </c>
      <c r="C262" s="136"/>
      <c r="D262" s="88">
        <v>52.89</v>
      </c>
      <c r="E262" s="134">
        <v>0.5</v>
      </c>
      <c r="F262" s="187">
        <f t="shared" si="7"/>
        <v>26.445</v>
      </c>
    </row>
    <row r="263" spans="1:6">
      <c r="A263" s="17"/>
      <c r="B263" s="96" t="s">
        <v>356</v>
      </c>
      <c r="C263" s="136"/>
      <c r="D263" s="88">
        <v>41.86</v>
      </c>
      <c r="E263" s="134">
        <v>0.15</v>
      </c>
      <c r="F263" s="187">
        <f t="shared" si="7"/>
        <v>6.2789999999999999</v>
      </c>
    </row>
    <row r="264" spans="1:6">
      <c r="A264" s="17"/>
      <c r="B264" s="96" t="s">
        <v>357</v>
      </c>
      <c r="C264" s="136" t="s">
        <v>21</v>
      </c>
      <c r="D264" s="88">
        <v>23.13</v>
      </c>
      <c r="E264" s="134">
        <v>4</v>
      </c>
      <c r="F264" s="187">
        <f t="shared" si="7"/>
        <v>92.52</v>
      </c>
    </row>
    <row r="265" spans="1:6">
      <c r="A265" s="17"/>
      <c r="B265" s="96" t="s">
        <v>322</v>
      </c>
      <c r="C265" s="136"/>
      <c r="D265" s="218">
        <v>72.67</v>
      </c>
      <c r="E265" s="134">
        <v>0.25</v>
      </c>
      <c r="F265" s="187">
        <f t="shared" si="7"/>
        <v>18.1675</v>
      </c>
    </row>
    <row r="266" spans="1:6">
      <c r="A266" s="17"/>
      <c r="B266" s="96" t="s">
        <v>324</v>
      </c>
      <c r="C266" s="136"/>
      <c r="D266" s="88">
        <v>11.71</v>
      </c>
      <c r="E266" s="134">
        <v>2.5</v>
      </c>
      <c r="F266" s="187">
        <f t="shared" si="7"/>
        <v>29.275000000000002</v>
      </c>
    </row>
    <row r="267" spans="1:6">
      <c r="A267" s="17"/>
      <c r="B267" s="96" t="s">
        <v>355</v>
      </c>
      <c r="C267" s="136"/>
      <c r="D267" s="88">
        <v>52.89</v>
      </c>
      <c r="E267" s="134">
        <v>0.5</v>
      </c>
      <c r="F267" s="187">
        <f t="shared" si="7"/>
        <v>26.445</v>
      </c>
    </row>
    <row r="268" spans="1:6">
      <c r="A268" s="17"/>
      <c r="B268" s="96" t="s">
        <v>356</v>
      </c>
      <c r="C268" s="136"/>
      <c r="D268" s="88">
        <v>41.86</v>
      </c>
      <c r="E268" s="134">
        <v>0.15</v>
      </c>
      <c r="F268" s="187">
        <f t="shared" si="7"/>
        <v>6.2789999999999999</v>
      </c>
    </row>
    <row r="269" spans="1:6">
      <c r="A269" s="17"/>
      <c r="B269" s="96" t="s">
        <v>358</v>
      </c>
      <c r="C269" s="136" t="s">
        <v>54</v>
      </c>
      <c r="D269" s="88">
        <v>6.46</v>
      </c>
      <c r="E269" s="134">
        <v>2.5</v>
      </c>
      <c r="F269" s="187">
        <f t="shared" si="7"/>
        <v>16.149999999999999</v>
      </c>
    </row>
    <row r="270" spans="1:6">
      <c r="A270" s="17"/>
      <c r="B270" s="96" t="s">
        <v>315</v>
      </c>
      <c r="C270" s="136"/>
      <c r="D270" s="88">
        <v>141.30000000000001</v>
      </c>
      <c r="E270" s="134">
        <v>0.2</v>
      </c>
      <c r="F270" s="187">
        <f t="shared" si="7"/>
        <v>28.260000000000005</v>
      </c>
    </row>
    <row r="271" spans="1:6">
      <c r="A271" s="17"/>
      <c r="B271" s="96" t="s">
        <v>359</v>
      </c>
      <c r="C271" s="136"/>
      <c r="D271" s="88">
        <v>103.35</v>
      </c>
      <c r="E271" s="134">
        <v>1</v>
      </c>
      <c r="F271" s="187">
        <f t="shared" si="7"/>
        <v>103.35</v>
      </c>
    </row>
    <row r="272" spans="1:6">
      <c r="A272" s="17"/>
      <c r="B272" s="96" t="s">
        <v>318</v>
      </c>
      <c r="C272" s="136" t="s">
        <v>54</v>
      </c>
      <c r="D272" s="88">
        <v>6.46</v>
      </c>
      <c r="E272" s="134">
        <v>2.5</v>
      </c>
      <c r="F272" s="187">
        <f t="shared" si="7"/>
        <v>16.149999999999999</v>
      </c>
    </row>
    <row r="273" spans="1:7">
      <c r="A273" s="17"/>
      <c r="B273" s="96" t="s">
        <v>315</v>
      </c>
      <c r="C273" s="136"/>
      <c r="D273" s="88">
        <v>141.30000000000001</v>
      </c>
      <c r="E273" s="134">
        <v>0.2</v>
      </c>
      <c r="F273" s="187">
        <f t="shared" si="7"/>
        <v>28.260000000000005</v>
      </c>
    </row>
    <row r="274" spans="1:7">
      <c r="A274" s="17"/>
      <c r="B274" s="96" t="s">
        <v>359</v>
      </c>
      <c r="C274" s="136"/>
      <c r="D274" s="88">
        <v>103.35</v>
      </c>
      <c r="E274" s="134">
        <v>1</v>
      </c>
      <c r="F274" s="187">
        <f t="shared" si="7"/>
        <v>103.35</v>
      </c>
    </row>
    <row r="275" spans="1:7">
      <c r="A275" s="17"/>
      <c r="B275" s="96" t="s">
        <v>360</v>
      </c>
      <c r="C275" s="136" t="s">
        <v>34</v>
      </c>
      <c r="D275" s="139">
        <v>8.48</v>
      </c>
      <c r="E275" s="134">
        <v>3.5</v>
      </c>
      <c r="F275" s="187">
        <f t="shared" si="7"/>
        <v>29.68</v>
      </c>
    </row>
    <row r="276" spans="1:7">
      <c r="A276" s="17"/>
      <c r="B276" s="96" t="s">
        <v>361</v>
      </c>
      <c r="C276" s="136" t="s">
        <v>96</v>
      </c>
      <c r="D276" s="139">
        <v>8.48</v>
      </c>
      <c r="E276" s="134">
        <v>3.5</v>
      </c>
      <c r="F276" s="187">
        <f t="shared" si="7"/>
        <v>29.68</v>
      </c>
    </row>
    <row r="277" spans="1:7" ht="13.5" thickBot="1">
      <c r="A277" s="30">
        <v>9</v>
      </c>
      <c r="B277" s="105" t="s">
        <v>362</v>
      </c>
      <c r="C277" s="140" t="s">
        <v>42</v>
      </c>
      <c r="D277" s="107">
        <v>1.23</v>
      </c>
      <c r="E277" s="116">
        <v>30</v>
      </c>
      <c r="F277" s="109">
        <f t="shared" si="7"/>
        <v>36.9</v>
      </c>
    </row>
    <row r="278" spans="1:7">
      <c r="A278" s="454" t="s">
        <v>30</v>
      </c>
      <c r="B278" s="455"/>
      <c r="C278" s="110"/>
      <c r="D278" s="202"/>
      <c r="E278" s="219"/>
      <c r="F278" s="222">
        <f>SUM(F248:F277)</f>
        <v>1152.6194000000003</v>
      </c>
      <c r="G278" s="240">
        <f>F244*F278</f>
        <v>0</v>
      </c>
    </row>
    <row r="279" spans="1:7" ht="13.5" thickBot="1">
      <c r="A279" s="467" t="s">
        <v>31</v>
      </c>
      <c r="B279" s="468"/>
      <c r="C279" s="469"/>
      <c r="D279" s="105"/>
      <c r="E279" s="205">
        <f>E249+E251+E248+E252+E253+E255+E256+E257+E277</f>
        <v>76.680000000000007</v>
      </c>
      <c r="F279" s="206"/>
      <c r="G279" s="118" t="s">
        <v>277</v>
      </c>
    </row>
    <row r="280" spans="1:7" ht="13.5" thickBot="1"/>
    <row r="281" spans="1:7" ht="12" customHeight="1">
      <c r="A281" s="456" t="s">
        <v>679</v>
      </c>
      <c r="B281" s="457"/>
      <c r="C281" s="457"/>
      <c r="D281" s="457"/>
      <c r="E281" s="457"/>
      <c r="F281" s="458"/>
    </row>
    <row r="282" spans="1:7" ht="15" customHeight="1">
      <c r="A282" s="459"/>
      <c r="B282" s="460"/>
      <c r="C282" s="460"/>
      <c r="D282" s="460"/>
      <c r="E282" s="460"/>
      <c r="F282" s="461"/>
    </row>
    <row r="283" spans="1:7" ht="15" customHeight="1" thickBot="1">
      <c r="A283" s="462"/>
      <c r="B283" s="463"/>
      <c r="C283" s="463"/>
      <c r="D283" s="463"/>
      <c r="E283" s="463"/>
      <c r="F283" s="464"/>
    </row>
    <row r="284" spans="1:7" ht="13.5" thickBot="1"/>
    <row r="285" spans="1:7" ht="13.5" thickBot="1">
      <c r="B285" s="2" t="s">
        <v>363</v>
      </c>
      <c r="D285" s="470" t="s">
        <v>1</v>
      </c>
      <c r="E285" s="471"/>
      <c r="F285" s="81">
        <v>0</v>
      </c>
    </row>
    <row r="286" spans="1:7" ht="13.5" thickBot="1"/>
    <row r="287" spans="1:7" ht="11.25" customHeight="1">
      <c r="A287" s="472" t="s">
        <v>276</v>
      </c>
      <c r="B287" s="473"/>
      <c r="C287" s="473"/>
      <c r="D287" s="473"/>
      <c r="E287" s="465" t="s">
        <v>2</v>
      </c>
      <c r="F287" s="466"/>
    </row>
    <row r="288" spans="1:7" ht="51.75" thickBot="1">
      <c r="A288" s="372" t="s">
        <v>716</v>
      </c>
      <c r="B288" s="84" t="s">
        <v>3</v>
      </c>
      <c r="C288" s="84" t="s">
        <v>4</v>
      </c>
      <c r="D288" s="84" t="s">
        <v>5</v>
      </c>
      <c r="E288" s="85" t="s">
        <v>6</v>
      </c>
      <c r="F288" s="86" t="s">
        <v>7</v>
      </c>
    </row>
    <row r="289" spans="1:6" ht="13.5" thickTop="1">
      <c r="A289" s="17">
        <v>1</v>
      </c>
      <c r="B289" s="135" t="s">
        <v>183</v>
      </c>
      <c r="C289" s="133" t="s">
        <v>43</v>
      </c>
      <c r="D289" s="88">
        <v>1.23</v>
      </c>
      <c r="E289" s="134">
        <v>17.579999999999998</v>
      </c>
      <c r="F289" s="58">
        <f>E289*D289</f>
        <v>21.623399999999997</v>
      </c>
    </row>
    <row r="290" spans="1:6">
      <c r="A290" s="184">
        <v>2</v>
      </c>
      <c r="B290" s="96" t="s">
        <v>8</v>
      </c>
      <c r="C290" s="185" t="s">
        <v>70</v>
      </c>
      <c r="D290" s="88">
        <v>1.23</v>
      </c>
      <c r="E290" s="186">
        <v>4.32</v>
      </c>
      <c r="F290" s="187">
        <f>(E290*D290)</f>
        <v>5.3136000000000001</v>
      </c>
    </row>
    <row r="291" spans="1:6">
      <c r="A291" s="184"/>
      <c r="B291" s="91" t="s">
        <v>69</v>
      </c>
      <c r="C291" s="185"/>
      <c r="D291" s="93">
        <v>0.34</v>
      </c>
      <c r="E291" s="186">
        <v>1000</v>
      </c>
      <c r="F291" s="187">
        <f t="shared" ref="F291:F307" si="8">(E291*D291)</f>
        <v>340</v>
      </c>
    </row>
    <row r="292" spans="1:6">
      <c r="A292" s="17">
        <v>3</v>
      </c>
      <c r="B292" s="95" t="s">
        <v>11</v>
      </c>
      <c r="C292" s="185" t="s">
        <v>70</v>
      </c>
      <c r="D292" s="88">
        <v>1.23</v>
      </c>
      <c r="E292" s="186">
        <v>2.3199999999999998</v>
      </c>
      <c r="F292" s="187">
        <f t="shared" si="8"/>
        <v>2.8535999999999997</v>
      </c>
    </row>
    <row r="293" spans="1:6">
      <c r="A293" s="17">
        <v>4</v>
      </c>
      <c r="B293" s="95" t="s">
        <v>288</v>
      </c>
      <c r="C293" s="133" t="s">
        <v>289</v>
      </c>
      <c r="D293" s="88">
        <v>1.23</v>
      </c>
      <c r="E293" s="134">
        <v>10.56</v>
      </c>
      <c r="F293" s="187">
        <f t="shared" si="8"/>
        <v>12.988800000000001</v>
      </c>
    </row>
    <row r="294" spans="1:6">
      <c r="A294" s="17">
        <v>5</v>
      </c>
      <c r="B294" s="96" t="s">
        <v>8</v>
      </c>
      <c r="C294" s="133" t="s">
        <v>45</v>
      </c>
      <c r="D294" s="88">
        <v>1.23</v>
      </c>
      <c r="E294" s="134">
        <v>2.16</v>
      </c>
      <c r="F294" s="187">
        <f t="shared" si="8"/>
        <v>2.6568000000000001</v>
      </c>
    </row>
    <row r="295" spans="1:6">
      <c r="A295" s="17"/>
      <c r="B295" s="91" t="s">
        <v>19</v>
      </c>
      <c r="C295" s="133"/>
      <c r="D295" s="97">
        <v>0.26</v>
      </c>
      <c r="E295" s="134">
        <v>500</v>
      </c>
      <c r="F295" s="187">
        <f t="shared" si="8"/>
        <v>130</v>
      </c>
    </row>
    <row r="296" spans="1:6">
      <c r="A296" s="17">
        <v>6</v>
      </c>
      <c r="B296" s="95" t="s">
        <v>11</v>
      </c>
      <c r="C296" s="133" t="s">
        <v>45</v>
      </c>
      <c r="D296" s="88">
        <v>1.23</v>
      </c>
      <c r="E296" s="134">
        <v>1.1599999999999999</v>
      </c>
      <c r="F296" s="187">
        <f t="shared" si="8"/>
        <v>1.4267999999999998</v>
      </c>
    </row>
    <row r="297" spans="1:6">
      <c r="A297" s="17">
        <v>7</v>
      </c>
      <c r="B297" s="96" t="s">
        <v>290</v>
      </c>
      <c r="C297" s="133" t="s">
        <v>642</v>
      </c>
      <c r="D297" s="88">
        <v>1.23</v>
      </c>
      <c r="E297" s="209">
        <v>5.46</v>
      </c>
      <c r="F297" s="187">
        <f t="shared" si="8"/>
        <v>6.7157999999999998</v>
      </c>
    </row>
    <row r="298" spans="1:6">
      <c r="A298" s="17">
        <v>8</v>
      </c>
      <c r="B298" s="96" t="s">
        <v>292</v>
      </c>
      <c r="C298" s="133" t="s">
        <v>642</v>
      </c>
      <c r="D298" s="88">
        <v>1.23</v>
      </c>
      <c r="E298" s="134">
        <v>6.44</v>
      </c>
      <c r="F298" s="187">
        <f t="shared" si="8"/>
        <v>7.9212000000000007</v>
      </c>
    </row>
    <row r="299" spans="1:6">
      <c r="A299" s="17"/>
      <c r="B299" s="96" t="s">
        <v>304</v>
      </c>
      <c r="C299" s="133" t="s">
        <v>70</v>
      </c>
      <c r="D299" s="104">
        <v>10.01</v>
      </c>
      <c r="E299" s="134">
        <v>12</v>
      </c>
      <c r="F299" s="187">
        <f t="shared" si="8"/>
        <v>120.12</v>
      </c>
    </row>
    <row r="300" spans="1:6">
      <c r="A300" s="17"/>
      <c r="B300" s="96" t="s">
        <v>692</v>
      </c>
      <c r="C300" s="136" t="s">
        <v>45</v>
      </c>
      <c r="D300" s="174">
        <v>11.71</v>
      </c>
      <c r="E300" s="134">
        <v>6</v>
      </c>
      <c r="F300" s="187">
        <f t="shared" si="8"/>
        <v>70.260000000000005</v>
      </c>
    </row>
    <row r="301" spans="1:6">
      <c r="A301" s="17"/>
      <c r="B301" s="96" t="s">
        <v>364</v>
      </c>
      <c r="C301" s="136" t="s">
        <v>21</v>
      </c>
      <c r="D301" s="88">
        <v>12.11</v>
      </c>
      <c r="E301" s="134">
        <v>1</v>
      </c>
      <c r="F301" s="187">
        <f t="shared" si="8"/>
        <v>12.11</v>
      </c>
    </row>
    <row r="302" spans="1:6">
      <c r="A302" s="17"/>
      <c r="B302" s="96" t="s">
        <v>299</v>
      </c>
      <c r="C302" s="136"/>
      <c r="D302" s="88">
        <v>190.75</v>
      </c>
      <c r="E302" s="134">
        <v>0.8</v>
      </c>
      <c r="F302" s="187">
        <f t="shared" si="8"/>
        <v>152.6</v>
      </c>
    </row>
    <row r="303" spans="1:6">
      <c r="A303" s="17"/>
      <c r="B303" s="96" t="s">
        <v>358</v>
      </c>
      <c r="C303" s="136" t="s">
        <v>54</v>
      </c>
      <c r="D303" s="88">
        <v>6.46</v>
      </c>
      <c r="E303" s="134">
        <v>2.5</v>
      </c>
      <c r="F303" s="187">
        <f t="shared" si="8"/>
        <v>16.149999999999999</v>
      </c>
    </row>
    <row r="304" spans="1:6">
      <c r="A304" s="17"/>
      <c r="B304" s="96" t="s">
        <v>365</v>
      </c>
      <c r="C304" s="136" t="s">
        <v>34</v>
      </c>
      <c r="D304" s="139">
        <v>8.48</v>
      </c>
      <c r="E304" s="134">
        <v>3.5</v>
      </c>
      <c r="F304" s="187">
        <f t="shared" si="8"/>
        <v>29.68</v>
      </c>
    </row>
    <row r="305" spans="1:7">
      <c r="A305" s="17"/>
      <c r="B305" s="96" t="s">
        <v>360</v>
      </c>
      <c r="C305" s="136" t="s">
        <v>96</v>
      </c>
      <c r="D305" s="139">
        <v>8.48</v>
      </c>
      <c r="E305" s="134">
        <v>3.5</v>
      </c>
      <c r="F305" s="187">
        <f t="shared" si="8"/>
        <v>29.68</v>
      </c>
    </row>
    <row r="306" spans="1:7">
      <c r="A306" s="184"/>
      <c r="B306" s="96" t="s">
        <v>301</v>
      </c>
      <c r="C306" s="136" t="s">
        <v>42</v>
      </c>
      <c r="D306" s="104">
        <v>10.01</v>
      </c>
      <c r="E306" s="245">
        <v>12</v>
      </c>
      <c r="F306" s="187">
        <f t="shared" si="8"/>
        <v>120.12</v>
      </c>
    </row>
    <row r="307" spans="1:7" ht="13.5" thickBot="1">
      <c r="A307" s="30">
        <v>9</v>
      </c>
      <c r="B307" s="105" t="s">
        <v>366</v>
      </c>
      <c r="C307" s="199" t="s">
        <v>367</v>
      </c>
      <c r="D307" s="107">
        <v>1.23</v>
      </c>
      <c r="E307" s="108">
        <v>30</v>
      </c>
      <c r="F307" s="109">
        <f t="shared" si="8"/>
        <v>36.9</v>
      </c>
    </row>
    <row r="308" spans="1:7">
      <c r="A308" s="454" t="s">
        <v>30</v>
      </c>
      <c r="B308" s="455"/>
      <c r="C308" s="110"/>
      <c r="D308" s="202"/>
      <c r="E308" s="203"/>
      <c r="F308" s="222">
        <f>SUM(F289:F307)</f>
        <v>1119.1199999999999</v>
      </c>
      <c r="G308" s="240">
        <f>F285*F308</f>
        <v>0</v>
      </c>
    </row>
    <row r="309" spans="1:7" ht="13.5" thickBot="1">
      <c r="A309" s="467" t="s">
        <v>31</v>
      </c>
      <c r="B309" s="468"/>
      <c r="C309" s="469"/>
      <c r="D309" s="105"/>
      <c r="E309" s="205">
        <f>E289+E290+E292+E293+E294+E296+E297+E298+E307</f>
        <v>80</v>
      </c>
      <c r="F309" s="206"/>
      <c r="G309" s="118" t="s">
        <v>277</v>
      </c>
    </row>
    <row r="310" spans="1:7" ht="13.5" thickBot="1"/>
    <row r="311" spans="1:7" ht="12" customHeight="1">
      <c r="A311" s="456" t="s">
        <v>32</v>
      </c>
      <c r="B311" s="457"/>
      <c r="C311" s="457"/>
      <c r="D311" s="457"/>
      <c r="E311" s="457"/>
      <c r="F311" s="458"/>
    </row>
    <row r="312" spans="1:7" ht="15" customHeight="1">
      <c r="A312" s="459"/>
      <c r="B312" s="460"/>
      <c r="C312" s="460"/>
      <c r="D312" s="460"/>
      <c r="E312" s="460"/>
      <c r="F312" s="461"/>
    </row>
    <row r="313" spans="1:7" ht="15" customHeight="1" thickBot="1">
      <c r="A313" s="462"/>
      <c r="B313" s="463"/>
      <c r="C313" s="463"/>
      <c r="D313" s="463"/>
      <c r="E313" s="463"/>
      <c r="F313" s="464"/>
    </row>
    <row r="314" spans="1:7" ht="13.5" thickBot="1"/>
    <row r="315" spans="1:7" ht="13.5" thickBot="1">
      <c r="B315" s="2" t="s">
        <v>368</v>
      </c>
      <c r="D315" s="470" t="s">
        <v>1</v>
      </c>
      <c r="E315" s="471"/>
      <c r="F315" s="81">
        <v>0</v>
      </c>
    </row>
    <row r="316" spans="1:7" ht="13.5" thickBot="1"/>
    <row r="317" spans="1:7" ht="11.25" customHeight="1">
      <c r="A317" s="472" t="s">
        <v>276</v>
      </c>
      <c r="B317" s="473"/>
      <c r="C317" s="473"/>
      <c r="D317" s="473"/>
      <c r="E317" s="465" t="s">
        <v>2</v>
      </c>
      <c r="F317" s="466"/>
    </row>
    <row r="318" spans="1:7" ht="51.75" thickBot="1">
      <c r="A318" s="372" t="s">
        <v>716</v>
      </c>
      <c r="B318" s="84" t="s">
        <v>3</v>
      </c>
      <c r="C318" s="84" t="s">
        <v>4</v>
      </c>
      <c r="D318" s="84" t="s">
        <v>5</v>
      </c>
      <c r="E318" s="85" t="s">
        <v>6</v>
      </c>
      <c r="F318" s="86" t="s">
        <v>7</v>
      </c>
    </row>
    <row r="319" spans="1:7" ht="13.5" thickTop="1">
      <c r="A319" s="17">
        <v>1</v>
      </c>
      <c r="B319" s="135" t="s">
        <v>183</v>
      </c>
      <c r="C319" s="133" t="s">
        <v>43</v>
      </c>
      <c r="D319" s="88">
        <v>1.23</v>
      </c>
      <c r="E319" s="134">
        <v>17.579999999999998</v>
      </c>
      <c r="F319" s="58">
        <f>E319*D319</f>
        <v>21.623399999999997</v>
      </c>
    </row>
    <row r="320" spans="1:7">
      <c r="A320" s="184">
        <v>2</v>
      </c>
      <c r="B320" s="96" t="s">
        <v>8</v>
      </c>
      <c r="C320" s="185" t="s">
        <v>70</v>
      </c>
      <c r="D320" s="88">
        <v>1.23</v>
      </c>
      <c r="E320" s="186">
        <v>2.16</v>
      </c>
      <c r="F320" s="187">
        <f>(E320*D320)</f>
        <v>2.6568000000000001</v>
      </c>
    </row>
    <row r="321" spans="1:6">
      <c r="A321" s="184"/>
      <c r="B321" s="91" t="s">
        <v>69</v>
      </c>
      <c r="C321" s="185"/>
      <c r="D321" s="93">
        <v>0.34</v>
      </c>
      <c r="E321" s="186">
        <v>500</v>
      </c>
      <c r="F321" s="187">
        <f t="shared" ref="F321:F342" si="9">(E321*D321)</f>
        <v>170</v>
      </c>
    </row>
    <row r="322" spans="1:6">
      <c r="A322" s="17">
        <v>3</v>
      </c>
      <c r="B322" s="95" t="s">
        <v>11</v>
      </c>
      <c r="C322" s="185" t="s">
        <v>70</v>
      </c>
      <c r="D322" s="88">
        <v>1.23</v>
      </c>
      <c r="E322" s="186">
        <v>1.1599999999999999</v>
      </c>
      <c r="F322" s="187">
        <f t="shared" si="9"/>
        <v>1.4267999999999998</v>
      </c>
    </row>
    <row r="323" spans="1:6">
      <c r="A323" s="17">
        <v>4</v>
      </c>
      <c r="B323" s="95" t="s">
        <v>288</v>
      </c>
      <c r="C323" s="133" t="s">
        <v>289</v>
      </c>
      <c r="D323" s="88">
        <v>1.23</v>
      </c>
      <c r="E323" s="134">
        <v>10.56</v>
      </c>
      <c r="F323" s="187">
        <f t="shared" si="9"/>
        <v>12.988800000000001</v>
      </c>
    </row>
    <row r="324" spans="1:6">
      <c r="A324" s="17">
        <v>5</v>
      </c>
      <c r="B324" s="96" t="s">
        <v>8</v>
      </c>
      <c r="C324" s="133" t="s">
        <v>45</v>
      </c>
      <c r="D324" s="88">
        <v>1.23</v>
      </c>
      <c r="E324" s="134">
        <v>2.16</v>
      </c>
      <c r="F324" s="187">
        <f t="shared" si="9"/>
        <v>2.6568000000000001</v>
      </c>
    </row>
    <row r="325" spans="1:6">
      <c r="A325" s="17"/>
      <c r="B325" s="91" t="s">
        <v>19</v>
      </c>
      <c r="C325" s="133"/>
      <c r="D325" s="97">
        <v>0.26</v>
      </c>
      <c r="E325" s="134">
        <v>500</v>
      </c>
      <c r="F325" s="187">
        <f t="shared" si="9"/>
        <v>130</v>
      </c>
    </row>
    <row r="326" spans="1:6">
      <c r="A326" s="17">
        <v>6</v>
      </c>
      <c r="B326" s="95" t="s">
        <v>11</v>
      </c>
      <c r="C326" s="133" t="s">
        <v>45</v>
      </c>
      <c r="D326" s="88">
        <v>1.23</v>
      </c>
      <c r="E326" s="134">
        <v>1.1599999999999999</v>
      </c>
      <c r="F326" s="187">
        <f t="shared" si="9"/>
        <v>1.4267999999999998</v>
      </c>
    </row>
    <row r="327" spans="1:6">
      <c r="A327" s="17">
        <v>7</v>
      </c>
      <c r="B327" s="96" t="s">
        <v>369</v>
      </c>
      <c r="C327" s="133" t="s">
        <v>291</v>
      </c>
      <c r="D327" s="88">
        <v>1.23</v>
      </c>
      <c r="E327" s="209">
        <v>4.68</v>
      </c>
      <c r="F327" s="187">
        <f t="shared" si="9"/>
        <v>5.7563999999999993</v>
      </c>
    </row>
    <row r="328" spans="1:6">
      <c r="A328" s="17">
        <v>8</v>
      </c>
      <c r="B328" s="96" t="s">
        <v>206</v>
      </c>
      <c r="C328" s="133" t="s">
        <v>291</v>
      </c>
      <c r="D328" s="88">
        <v>1.23</v>
      </c>
      <c r="E328" s="134">
        <v>5.52</v>
      </c>
      <c r="F328" s="187">
        <f t="shared" si="9"/>
        <v>6.7895999999999992</v>
      </c>
    </row>
    <row r="329" spans="1:6">
      <c r="A329" s="17"/>
      <c r="B329" s="96" t="s">
        <v>304</v>
      </c>
      <c r="C329" s="133" t="s">
        <v>18</v>
      </c>
      <c r="D329" s="104">
        <v>10.01</v>
      </c>
      <c r="E329" s="246">
        <v>6</v>
      </c>
      <c r="F329" s="187">
        <f t="shared" si="9"/>
        <v>60.06</v>
      </c>
    </row>
    <row r="330" spans="1:6">
      <c r="A330" s="17"/>
      <c r="B330" s="96" t="s">
        <v>294</v>
      </c>
      <c r="C330" s="136"/>
      <c r="D330" s="104">
        <v>115.87</v>
      </c>
      <c r="E330" s="246">
        <v>0.2</v>
      </c>
      <c r="F330" s="187">
        <f t="shared" si="9"/>
        <v>23.174000000000003</v>
      </c>
    </row>
    <row r="331" spans="1:6">
      <c r="A331" s="17"/>
      <c r="B331" s="96" t="s">
        <v>370</v>
      </c>
      <c r="C331" s="136"/>
      <c r="D331" s="88">
        <v>15.5</v>
      </c>
      <c r="E331" s="247">
        <v>1</v>
      </c>
      <c r="F331" s="187">
        <f t="shared" si="9"/>
        <v>15.5</v>
      </c>
    </row>
    <row r="332" spans="1:6">
      <c r="A332" s="17"/>
      <c r="B332" s="96" t="s">
        <v>284</v>
      </c>
      <c r="C332" s="136"/>
      <c r="D332" s="88">
        <v>9.19</v>
      </c>
      <c r="E332" s="247">
        <v>1.5</v>
      </c>
      <c r="F332" s="187">
        <f t="shared" si="9"/>
        <v>13.785</v>
      </c>
    </row>
    <row r="333" spans="1:6">
      <c r="A333" s="17"/>
      <c r="B333" s="96" t="s">
        <v>137</v>
      </c>
      <c r="C333" s="136"/>
      <c r="D333" s="88">
        <v>6.46</v>
      </c>
      <c r="E333" s="247">
        <v>2.5</v>
      </c>
      <c r="F333" s="187">
        <f t="shared" si="9"/>
        <v>16.149999999999999</v>
      </c>
    </row>
    <row r="334" spans="1:6">
      <c r="A334" s="17"/>
      <c r="B334" s="96" t="s">
        <v>314</v>
      </c>
      <c r="C334" s="136" t="s">
        <v>45</v>
      </c>
      <c r="D334" s="88">
        <v>12.11</v>
      </c>
      <c r="E334" s="247">
        <v>1</v>
      </c>
      <c r="F334" s="187">
        <f t="shared" si="9"/>
        <v>12.11</v>
      </c>
    </row>
    <row r="335" spans="1:6">
      <c r="A335" s="17"/>
      <c r="B335" s="96" t="s">
        <v>137</v>
      </c>
      <c r="C335" s="136"/>
      <c r="D335" s="88">
        <v>6.46</v>
      </c>
      <c r="E335" s="247">
        <v>2.5</v>
      </c>
      <c r="F335" s="187">
        <f t="shared" si="9"/>
        <v>16.149999999999999</v>
      </c>
    </row>
    <row r="336" spans="1:6">
      <c r="A336" s="17"/>
      <c r="B336" s="96" t="s">
        <v>371</v>
      </c>
      <c r="C336" s="136" t="s">
        <v>45</v>
      </c>
      <c r="D336" s="88">
        <v>33.1</v>
      </c>
      <c r="E336" s="247">
        <v>0.2</v>
      </c>
      <c r="F336" s="187">
        <f t="shared" si="9"/>
        <v>6.620000000000001</v>
      </c>
    </row>
    <row r="337" spans="1:7">
      <c r="A337" s="17"/>
      <c r="B337" s="96" t="s">
        <v>259</v>
      </c>
      <c r="C337" s="136"/>
      <c r="D337" s="88">
        <v>6.46</v>
      </c>
      <c r="E337" s="247">
        <v>2.5</v>
      </c>
      <c r="F337" s="187">
        <f t="shared" si="9"/>
        <v>16.149999999999999</v>
      </c>
    </row>
    <row r="338" spans="1:7">
      <c r="A338" s="17"/>
      <c r="B338" s="96" t="s">
        <v>372</v>
      </c>
      <c r="C338" s="136" t="s">
        <v>21</v>
      </c>
      <c r="D338" s="88">
        <v>9.19</v>
      </c>
      <c r="E338" s="134">
        <v>1.5</v>
      </c>
      <c r="F338" s="187">
        <f t="shared" si="9"/>
        <v>13.785</v>
      </c>
    </row>
    <row r="339" spans="1:7">
      <c r="A339" s="17"/>
      <c r="B339" s="96" t="s">
        <v>137</v>
      </c>
      <c r="C339" s="136"/>
      <c r="D339" s="88">
        <v>6.46</v>
      </c>
      <c r="E339" s="134">
        <v>2.5</v>
      </c>
      <c r="F339" s="187">
        <f t="shared" si="9"/>
        <v>16.149999999999999</v>
      </c>
    </row>
    <row r="340" spans="1:7">
      <c r="A340" s="184"/>
      <c r="B340" s="193" t="s">
        <v>373</v>
      </c>
      <c r="C340" s="210" t="s">
        <v>54</v>
      </c>
      <c r="D340" s="104">
        <v>190.75</v>
      </c>
      <c r="E340" s="245">
        <v>0.8</v>
      </c>
      <c r="F340" s="187">
        <f t="shared" si="9"/>
        <v>152.6</v>
      </c>
    </row>
    <row r="341" spans="1:7">
      <c r="A341" s="184"/>
      <c r="B341" s="193" t="s">
        <v>374</v>
      </c>
      <c r="C341" s="210" t="s">
        <v>9</v>
      </c>
      <c r="D341" s="104">
        <v>10.01</v>
      </c>
      <c r="E341" s="245">
        <v>6</v>
      </c>
      <c r="F341" s="187">
        <f t="shared" si="9"/>
        <v>60.06</v>
      </c>
    </row>
    <row r="342" spans="1:7" ht="13.5" thickBot="1">
      <c r="A342" s="30">
        <v>9</v>
      </c>
      <c r="B342" s="105" t="s">
        <v>375</v>
      </c>
      <c r="C342" s="106" t="s">
        <v>232</v>
      </c>
      <c r="D342" s="107">
        <v>1.23</v>
      </c>
      <c r="E342" s="108">
        <v>20</v>
      </c>
      <c r="F342" s="109">
        <f t="shared" si="9"/>
        <v>24.6</v>
      </c>
    </row>
    <row r="343" spans="1:7">
      <c r="A343" s="454" t="s">
        <v>30</v>
      </c>
      <c r="B343" s="455"/>
      <c r="C343" s="110"/>
      <c r="D343" s="202"/>
      <c r="E343" s="203"/>
      <c r="F343" s="204">
        <f>SUM(F319:F342)</f>
        <v>802.21940000000006</v>
      </c>
      <c r="G343" s="240">
        <f>F315*F343</f>
        <v>0</v>
      </c>
    </row>
    <row r="344" spans="1:7" ht="13.5" thickBot="1">
      <c r="A344" s="467" t="s">
        <v>31</v>
      </c>
      <c r="B344" s="468"/>
      <c r="C344" s="469"/>
      <c r="D344" s="105"/>
      <c r="E344" s="205">
        <f>E320+E322+E319+E323+E324+E326+E327+E328+E342</f>
        <v>64.98</v>
      </c>
      <c r="F344" s="206"/>
      <c r="G344" s="118" t="s">
        <v>277</v>
      </c>
    </row>
    <row r="345" spans="1:7" ht="13.5" thickBot="1"/>
    <row r="346" spans="1:7" ht="12" customHeight="1">
      <c r="A346" s="456" t="s">
        <v>32</v>
      </c>
      <c r="B346" s="457"/>
      <c r="C346" s="457"/>
      <c r="D346" s="457"/>
      <c r="E346" s="457"/>
      <c r="F346" s="458"/>
    </row>
    <row r="347" spans="1:7" ht="15" customHeight="1">
      <c r="A347" s="459"/>
      <c r="B347" s="460"/>
      <c r="C347" s="460"/>
      <c r="D347" s="460"/>
      <c r="E347" s="460"/>
      <c r="F347" s="461"/>
    </row>
    <row r="348" spans="1:7" ht="15" customHeight="1" thickBot="1">
      <c r="A348" s="462"/>
      <c r="B348" s="463"/>
      <c r="C348" s="463"/>
      <c r="D348" s="463"/>
      <c r="E348" s="463"/>
      <c r="F348" s="464"/>
    </row>
    <row r="349" spans="1:7" ht="13.5" thickBot="1"/>
    <row r="350" spans="1:7" ht="13.5" thickBot="1">
      <c r="B350" s="2" t="s">
        <v>376</v>
      </c>
      <c r="D350" s="470" t="s">
        <v>1</v>
      </c>
      <c r="E350" s="471"/>
      <c r="F350" s="81">
        <v>0</v>
      </c>
    </row>
    <row r="351" spans="1:7" ht="13.5" thickBot="1"/>
    <row r="352" spans="1:7" ht="11.25" customHeight="1">
      <c r="A352" s="472" t="s">
        <v>276</v>
      </c>
      <c r="B352" s="473"/>
      <c r="C352" s="473"/>
      <c r="D352" s="473"/>
      <c r="E352" s="465" t="s">
        <v>2</v>
      </c>
      <c r="F352" s="466"/>
    </row>
    <row r="353" spans="1:6" ht="51.75" thickBot="1">
      <c r="A353" s="372" t="s">
        <v>716</v>
      </c>
      <c r="B353" s="84" t="s">
        <v>3</v>
      </c>
      <c r="C353" s="84" t="s">
        <v>4</v>
      </c>
      <c r="D353" s="84" t="s">
        <v>5</v>
      </c>
      <c r="E353" s="85" t="s">
        <v>6</v>
      </c>
      <c r="F353" s="86" t="s">
        <v>7</v>
      </c>
    </row>
    <row r="354" spans="1:6" ht="13.5" thickTop="1">
      <c r="A354" s="184">
        <v>1</v>
      </c>
      <c r="B354" s="96" t="s">
        <v>8</v>
      </c>
      <c r="C354" s="185" t="s">
        <v>70</v>
      </c>
      <c r="D354" s="88">
        <v>1.23</v>
      </c>
      <c r="E354" s="186">
        <v>3.02</v>
      </c>
      <c r="F354" s="187">
        <f>(E354*D354)</f>
        <v>3.7145999999999999</v>
      </c>
    </row>
    <row r="355" spans="1:6">
      <c r="A355" s="184"/>
      <c r="B355" s="91" t="s">
        <v>69</v>
      </c>
      <c r="C355" s="185"/>
      <c r="D355" s="93">
        <v>0.34</v>
      </c>
      <c r="E355" s="186">
        <v>700</v>
      </c>
      <c r="F355" s="187">
        <f>(E355*D355)</f>
        <v>238.00000000000003</v>
      </c>
    </row>
    <row r="356" spans="1:6">
      <c r="A356" s="17">
        <v>2</v>
      </c>
      <c r="B356" s="95" t="s">
        <v>11</v>
      </c>
      <c r="C356" s="185" t="s">
        <v>70</v>
      </c>
      <c r="D356" s="88">
        <v>1.23</v>
      </c>
      <c r="E356" s="186">
        <v>1.62</v>
      </c>
      <c r="F356" s="187">
        <f t="shared" ref="F356:F368" si="10">(E356*D356)</f>
        <v>1.9926000000000001</v>
      </c>
    </row>
    <row r="357" spans="1:6">
      <c r="A357" s="17">
        <v>3</v>
      </c>
      <c r="B357" s="95" t="s">
        <v>288</v>
      </c>
      <c r="C357" s="133" t="s">
        <v>289</v>
      </c>
      <c r="D357" s="88">
        <v>1.23</v>
      </c>
      <c r="E357" s="134">
        <v>10.56</v>
      </c>
      <c r="F357" s="187">
        <f t="shared" si="10"/>
        <v>12.988800000000001</v>
      </c>
    </row>
    <row r="358" spans="1:6">
      <c r="A358" s="17">
        <v>4</v>
      </c>
      <c r="B358" s="96" t="s">
        <v>8</v>
      </c>
      <c r="C358" s="133" t="s">
        <v>45</v>
      </c>
      <c r="D358" s="88">
        <v>1.23</v>
      </c>
      <c r="E358" s="134">
        <v>2.16</v>
      </c>
      <c r="F358" s="187">
        <f t="shared" si="10"/>
        <v>2.6568000000000001</v>
      </c>
    </row>
    <row r="359" spans="1:6">
      <c r="A359" s="17"/>
      <c r="B359" s="91" t="s">
        <v>19</v>
      </c>
      <c r="C359" s="133"/>
      <c r="D359" s="97">
        <v>0.26</v>
      </c>
      <c r="E359" s="134">
        <v>500</v>
      </c>
      <c r="F359" s="187">
        <f t="shared" si="10"/>
        <v>130</v>
      </c>
    </row>
    <row r="360" spans="1:6">
      <c r="A360" s="17">
        <v>5</v>
      </c>
      <c r="B360" s="95" t="s">
        <v>11</v>
      </c>
      <c r="C360" s="133" t="s">
        <v>45</v>
      </c>
      <c r="D360" s="88">
        <v>1.23</v>
      </c>
      <c r="E360" s="134">
        <v>1.1599999999999999</v>
      </c>
      <c r="F360" s="187">
        <f t="shared" si="10"/>
        <v>1.4267999999999998</v>
      </c>
    </row>
    <row r="361" spans="1:6">
      <c r="A361" s="17">
        <v>6</v>
      </c>
      <c r="B361" s="96" t="s">
        <v>145</v>
      </c>
      <c r="C361" s="133" t="s">
        <v>641</v>
      </c>
      <c r="D361" s="88">
        <v>1.23</v>
      </c>
      <c r="E361" s="209">
        <v>3.12</v>
      </c>
      <c r="F361" s="187">
        <f t="shared" si="10"/>
        <v>3.8376000000000001</v>
      </c>
    </row>
    <row r="362" spans="1:6">
      <c r="A362" s="17">
        <v>7</v>
      </c>
      <c r="B362" s="96" t="s">
        <v>147</v>
      </c>
      <c r="C362" s="133" t="s">
        <v>641</v>
      </c>
      <c r="D362" s="88">
        <v>1.23</v>
      </c>
      <c r="E362" s="134">
        <v>3.68</v>
      </c>
      <c r="F362" s="187">
        <f t="shared" si="10"/>
        <v>4.5263999999999998</v>
      </c>
    </row>
    <row r="363" spans="1:6">
      <c r="A363" s="17"/>
      <c r="B363" s="96" t="s">
        <v>377</v>
      </c>
      <c r="C363" s="133" t="s">
        <v>70</v>
      </c>
      <c r="D363" s="104">
        <v>14.61</v>
      </c>
      <c r="E363" s="134">
        <v>1</v>
      </c>
      <c r="F363" s="187">
        <f t="shared" si="10"/>
        <v>14.61</v>
      </c>
    </row>
    <row r="364" spans="1:6">
      <c r="A364" s="184"/>
      <c r="B364" s="193" t="s">
        <v>378</v>
      </c>
      <c r="C364" s="248" t="s">
        <v>21</v>
      </c>
      <c r="D364" s="232">
        <v>76.709999999999994</v>
      </c>
      <c r="E364" s="245">
        <v>0.32</v>
      </c>
      <c r="F364" s="187">
        <f t="shared" si="10"/>
        <v>24.5472</v>
      </c>
    </row>
    <row r="365" spans="1:6">
      <c r="A365" s="184"/>
      <c r="B365" s="193" t="s">
        <v>379</v>
      </c>
      <c r="C365" s="248" t="s">
        <v>54</v>
      </c>
      <c r="D365" s="232">
        <v>190.75</v>
      </c>
      <c r="E365" s="245">
        <v>0.16</v>
      </c>
      <c r="F365" s="187">
        <f t="shared" si="10"/>
        <v>30.52</v>
      </c>
    </row>
    <row r="366" spans="1:6">
      <c r="A366" s="184"/>
      <c r="B366" s="193" t="s">
        <v>380</v>
      </c>
      <c r="C366" s="248"/>
      <c r="D366" s="232">
        <v>292.69</v>
      </c>
      <c r="E366" s="245">
        <v>0.32</v>
      </c>
      <c r="F366" s="187">
        <f t="shared" si="10"/>
        <v>93.660799999999995</v>
      </c>
    </row>
    <row r="367" spans="1:6">
      <c r="A367" s="184"/>
      <c r="B367" s="193" t="s">
        <v>381</v>
      </c>
      <c r="C367" s="248" t="s">
        <v>54</v>
      </c>
      <c r="D367" s="104">
        <v>190.75</v>
      </c>
      <c r="E367" s="245">
        <v>0.16</v>
      </c>
      <c r="F367" s="187">
        <f t="shared" si="10"/>
        <v>30.52</v>
      </c>
    </row>
    <row r="368" spans="1:6" ht="13.5" thickBot="1">
      <c r="A368" s="30">
        <v>8</v>
      </c>
      <c r="B368" s="105" t="s">
        <v>382</v>
      </c>
      <c r="C368" s="106" t="s">
        <v>26</v>
      </c>
      <c r="D368" s="107">
        <v>1.23</v>
      </c>
      <c r="E368" s="108">
        <v>20</v>
      </c>
      <c r="F368" s="109">
        <f t="shared" si="10"/>
        <v>24.6</v>
      </c>
    </row>
    <row r="369" spans="1:7">
      <c r="A369" s="454" t="s">
        <v>30</v>
      </c>
      <c r="B369" s="455"/>
      <c r="C369" s="110"/>
      <c r="D369" s="202"/>
      <c r="E369" s="203"/>
      <c r="F369" s="204">
        <f>SUM(F354:F368)</f>
        <v>617.60160000000008</v>
      </c>
      <c r="G369" s="240">
        <f>F350*F369</f>
        <v>0</v>
      </c>
    </row>
    <row r="370" spans="1:7" ht="13.5" thickBot="1">
      <c r="A370" s="467" t="s">
        <v>31</v>
      </c>
      <c r="B370" s="468"/>
      <c r="C370" s="469"/>
      <c r="D370" s="105"/>
      <c r="E370" s="205">
        <f>E354+E356+E357+E358+E360+E361+E362+E368</f>
        <v>45.32</v>
      </c>
      <c r="F370" s="206"/>
      <c r="G370" s="118" t="s">
        <v>277</v>
      </c>
    </row>
    <row r="371" spans="1:7" ht="13.5" thickBot="1"/>
    <row r="372" spans="1:7" ht="12" customHeight="1">
      <c r="A372" s="456" t="s">
        <v>32</v>
      </c>
      <c r="B372" s="457"/>
      <c r="C372" s="457"/>
      <c r="D372" s="457"/>
      <c r="E372" s="457"/>
      <c r="F372" s="458"/>
    </row>
    <row r="373" spans="1:7" ht="15" customHeight="1">
      <c r="A373" s="459"/>
      <c r="B373" s="460"/>
      <c r="C373" s="460"/>
      <c r="D373" s="460"/>
      <c r="E373" s="460"/>
      <c r="F373" s="461"/>
    </row>
    <row r="374" spans="1:7" ht="15" customHeight="1" thickBot="1">
      <c r="A374" s="462"/>
      <c r="B374" s="463"/>
      <c r="C374" s="463"/>
      <c r="D374" s="463"/>
      <c r="E374" s="463"/>
      <c r="F374" s="464"/>
    </row>
    <row r="375" spans="1:7" ht="13.5" thickBot="1"/>
    <row r="376" spans="1:7" ht="13.5" thickBot="1">
      <c r="B376" s="2" t="s">
        <v>383</v>
      </c>
      <c r="D376" s="470" t="s">
        <v>1</v>
      </c>
      <c r="E376" s="471"/>
      <c r="F376" s="81">
        <v>0</v>
      </c>
    </row>
    <row r="377" spans="1:7" ht="13.5" thickBot="1"/>
    <row r="378" spans="1:7" ht="11.25" customHeight="1">
      <c r="A378" s="472" t="s">
        <v>276</v>
      </c>
      <c r="B378" s="473"/>
      <c r="C378" s="473"/>
      <c r="D378" s="473"/>
      <c r="E378" s="465" t="s">
        <v>2</v>
      </c>
      <c r="F378" s="466"/>
    </row>
    <row r="379" spans="1:7" ht="51.75" thickBot="1">
      <c r="A379" s="372" t="s">
        <v>716</v>
      </c>
      <c r="B379" s="84" t="s">
        <v>3</v>
      </c>
      <c r="C379" s="84" t="s">
        <v>4</v>
      </c>
      <c r="D379" s="84" t="s">
        <v>5</v>
      </c>
      <c r="E379" s="85" t="s">
        <v>6</v>
      </c>
      <c r="F379" s="86" t="s">
        <v>7</v>
      </c>
    </row>
    <row r="380" spans="1:7" ht="13.5" thickTop="1">
      <c r="A380" s="17">
        <v>1</v>
      </c>
      <c r="B380" s="135" t="s">
        <v>183</v>
      </c>
      <c r="C380" s="133" t="s">
        <v>43</v>
      </c>
      <c r="D380" s="88">
        <v>1.23</v>
      </c>
      <c r="E380" s="134">
        <v>17.579999999999998</v>
      </c>
      <c r="F380" s="58">
        <f>E380*D380</f>
        <v>21.623399999999997</v>
      </c>
    </row>
    <row r="381" spans="1:7">
      <c r="A381" s="184">
        <v>2</v>
      </c>
      <c r="B381" s="96" t="s">
        <v>8</v>
      </c>
      <c r="C381" s="185" t="s">
        <v>70</v>
      </c>
      <c r="D381" s="88">
        <v>1.23</v>
      </c>
      <c r="E381" s="186">
        <v>0.86</v>
      </c>
      <c r="F381" s="187">
        <f>(E381*D381)</f>
        <v>1.0578000000000001</v>
      </c>
    </row>
    <row r="382" spans="1:7">
      <c r="A382" s="184"/>
      <c r="B382" s="91" t="s">
        <v>69</v>
      </c>
      <c r="C382" s="185"/>
      <c r="D382" s="93">
        <v>0.34</v>
      </c>
      <c r="E382" s="186">
        <v>200</v>
      </c>
      <c r="F382" s="187">
        <f>(E382*D382)</f>
        <v>68</v>
      </c>
    </row>
    <row r="383" spans="1:7">
      <c r="A383" s="17">
        <v>3</v>
      </c>
      <c r="B383" s="95" t="s">
        <v>11</v>
      </c>
      <c r="C383" s="185" t="s">
        <v>70</v>
      </c>
      <c r="D383" s="88">
        <v>1.23</v>
      </c>
      <c r="E383" s="186">
        <v>1.1599999999999999</v>
      </c>
      <c r="F383" s="187">
        <f t="shared" ref="F383:F393" si="11">(E383*D383)</f>
        <v>1.4267999999999998</v>
      </c>
    </row>
    <row r="384" spans="1:7">
      <c r="A384" s="17">
        <v>4</v>
      </c>
      <c r="B384" s="95" t="s">
        <v>288</v>
      </c>
      <c r="C384" s="133" t="s">
        <v>289</v>
      </c>
      <c r="D384" s="88">
        <v>1.23</v>
      </c>
      <c r="E384" s="134">
        <v>10.56</v>
      </c>
      <c r="F384" s="187">
        <f t="shared" si="11"/>
        <v>12.988800000000001</v>
      </c>
    </row>
    <row r="385" spans="1:7">
      <c r="A385" s="184">
        <v>5</v>
      </c>
      <c r="B385" s="96" t="s">
        <v>8</v>
      </c>
      <c r="C385" s="185" t="s">
        <v>45</v>
      </c>
      <c r="D385" s="88">
        <v>1.23</v>
      </c>
      <c r="E385" s="186">
        <v>0.86</v>
      </c>
      <c r="F385" s="187">
        <f t="shared" si="11"/>
        <v>1.0578000000000001</v>
      </c>
    </row>
    <row r="386" spans="1:7">
      <c r="A386" s="184"/>
      <c r="B386" s="91" t="s">
        <v>19</v>
      </c>
      <c r="C386" s="185"/>
      <c r="D386" s="97">
        <v>0.26</v>
      </c>
      <c r="E386" s="186">
        <v>200</v>
      </c>
      <c r="F386" s="187">
        <f t="shared" si="11"/>
        <v>52</v>
      </c>
    </row>
    <row r="387" spans="1:7">
      <c r="A387" s="17">
        <v>6</v>
      </c>
      <c r="B387" s="95" t="s">
        <v>11</v>
      </c>
      <c r="C387" s="185" t="s">
        <v>45</v>
      </c>
      <c r="D387" s="88">
        <v>1.23</v>
      </c>
      <c r="E387" s="186">
        <v>1.1599999999999999</v>
      </c>
      <c r="F387" s="187">
        <f t="shared" si="11"/>
        <v>1.4267999999999998</v>
      </c>
    </row>
    <row r="388" spans="1:7">
      <c r="A388" s="17">
        <v>7</v>
      </c>
      <c r="B388" s="96" t="s">
        <v>47</v>
      </c>
      <c r="C388" s="133" t="s">
        <v>61</v>
      </c>
      <c r="D388" s="88">
        <v>1.23</v>
      </c>
      <c r="E388" s="209">
        <v>1.56</v>
      </c>
      <c r="F388" s="187">
        <f t="shared" si="11"/>
        <v>1.9188000000000001</v>
      </c>
    </row>
    <row r="389" spans="1:7">
      <c r="A389" s="17">
        <v>8</v>
      </c>
      <c r="B389" s="96" t="s">
        <v>48</v>
      </c>
      <c r="C389" s="133" t="s">
        <v>61</v>
      </c>
      <c r="D389" s="88">
        <v>1.23</v>
      </c>
      <c r="E389" s="134">
        <v>1.84</v>
      </c>
      <c r="F389" s="187">
        <f t="shared" si="11"/>
        <v>2.2631999999999999</v>
      </c>
    </row>
    <row r="390" spans="1:7">
      <c r="A390" s="17"/>
      <c r="B390" s="96" t="s">
        <v>384</v>
      </c>
      <c r="C390" s="133" t="s">
        <v>45</v>
      </c>
      <c r="D390" s="104">
        <v>15.5</v>
      </c>
      <c r="E390" s="134">
        <v>1</v>
      </c>
      <c r="F390" s="187">
        <f t="shared" si="11"/>
        <v>15.5</v>
      </c>
    </row>
    <row r="391" spans="1:7">
      <c r="A391" s="17"/>
      <c r="B391" s="96" t="s">
        <v>319</v>
      </c>
      <c r="C391" s="136"/>
      <c r="D391" s="88">
        <v>12.11</v>
      </c>
      <c r="E391" s="134">
        <v>1</v>
      </c>
      <c r="F391" s="187">
        <f t="shared" si="11"/>
        <v>12.11</v>
      </c>
    </row>
    <row r="392" spans="1:7">
      <c r="A392" s="17"/>
      <c r="B392" s="96" t="s">
        <v>285</v>
      </c>
      <c r="C392" s="136" t="s">
        <v>54</v>
      </c>
      <c r="D392" s="88">
        <v>6.46</v>
      </c>
      <c r="E392" s="134">
        <v>2.5</v>
      </c>
      <c r="F392" s="187">
        <f t="shared" si="11"/>
        <v>16.149999999999999</v>
      </c>
    </row>
    <row r="393" spans="1:7" ht="13.5" thickBot="1">
      <c r="A393" s="30">
        <v>9</v>
      </c>
      <c r="B393" s="105" t="s">
        <v>385</v>
      </c>
      <c r="C393" s="106" t="s">
        <v>79</v>
      </c>
      <c r="D393" s="107">
        <v>1.23</v>
      </c>
      <c r="E393" s="108">
        <v>20</v>
      </c>
      <c r="F393" s="109">
        <f t="shared" si="11"/>
        <v>24.6</v>
      </c>
    </row>
    <row r="394" spans="1:7">
      <c r="A394" s="454" t="s">
        <v>30</v>
      </c>
      <c r="B394" s="455"/>
      <c r="C394" s="110"/>
      <c r="D394" s="202"/>
      <c r="E394" s="219"/>
      <c r="F394" s="204">
        <f>SUM(F380:F393)</f>
        <v>232.1234</v>
      </c>
      <c r="G394" s="240">
        <f>F376*F394</f>
        <v>0</v>
      </c>
    </row>
    <row r="395" spans="1:7" ht="13.5" thickBot="1">
      <c r="A395" s="467" t="s">
        <v>31</v>
      </c>
      <c r="B395" s="468"/>
      <c r="C395" s="469"/>
      <c r="D395" s="105"/>
      <c r="E395" s="205">
        <f>E380+E381+E383+E384+E385+E387+E388+E389+E393</f>
        <v>55.58</v>
      </c>
      <c r="F395" s="206"/>
      <c r="G395" s="118" t="s">
        <v>277</v>
      </c>
    </row>
    <row r="396" spans="1:7" ht="13.5" thickBot="1"/>
    <row r="397" spans="1:7" ht="12" customHeight="1">
      <c r="A397" s="456" t="s">
        <v>32</v>
      </c>
      <c r="B397" s="457"/>
      <c r="C397" s="457"/>
      <c r="D397" s="457"/>
      <c r="E397" s="457"/>
      <c r="F397" s="458"/>
    </row>
    <row r="398" spans="1:7" ht="15" customHeight="1">
      <c r="A398" s="459"/>
      <c r="B398" s="460"/>
      <c r="C398" s="460"/>
      <c r="D398" s="460"/>
      <c r="E398" s="460"/>
      <c r="F398" s="461"/>
    </row>
    <row r="399" spans="1:7" ht="15" customHeight="1" thickBot="1">
      <c r="A399" s="462"/>
      <c r="B399" s="463"/>
      <c r="C399" s="463"/>
      <c r="D399" s="463"/>
      <c r="E399" s="463"/>
      <c r="F399" s="464"/>
    </row>
    <row r="400" spans="1:7" ht="13.5" thickBot="1">
      <c r="C400" s="176"/>
      <c r="D400" s="176"/>
      <c r="E400" s="176"/>
      <c r="F400" s="176"/>
    </row>
    <row r="401" spans="1:6" ht="13.5" thickBot="1">
      <c r="B401" s="2" t="s">
        <v>386</v>
      </c>
      <c r="D401" s="470" t="s">
        <v>1</v>
      </c>
      <c r="E401" s="471"/>
      <c r="F401" s="81">
        <v>0</v>
      </c>
    </row>
    <row r="402" spans="1:6" ht="13.5" thickBot="1"/>
    <row r="403" spans="1:6" ht="11.25" customHeight="1">
      <c r="A403" s="472" t="s">
        <v>276</v>
      </c>
      <c r="B403" s="473"/>
      <c r="C403" s="473"/>
      <c r="D403" s="473"/>
      <c r="E403" s="465" t="s">
        <v>2</v>
      </c>
      <c r="F403" s="466"/>
    </row>
    <row r="404" spans="1:6" ht="51.75" thickBot="1">
      <c r="A404" s="372" t="s">
        <v>716</v>
      </c>
      <c r="B404" s="84" t="s">
        <v>3</v>
      </c>
      <c r="C404" s="84" t="s">
        <v>4</v>
      </c>
      <c r="D404" s="84" t="s">
        <v>5</v>
      </c>
      <c r="E404" s="85" t="s">
        <v>6</v>
      </c>
      <c r="F404" s="86" t="s">
        <v>7</v>
      </c>
    </row>
    <row r="405" spans="1:6" ht="13.5" thickTop="1">
      <c r="A405" s="17">
        <v>1</v>
      </c>
      <c r="B405" s="135" t="s">
        <v>183</v>
      </c>
      <c r="C405" s="133" t="s">
        <v>43</v>
      </c>
      <c r="D405" s="88">
        <v>1.23</v>
      </c>
      <c r="E405" s="134">
        <v>17.579999999999998</v>
      </c>
      <c r="F405" s="58">
        <f>E405*D405</f>
        <v>21.623399999999997</v>
      </c>
    </row>
    <row r="406" spans="1:6">
      <c r="A406" s="184">
        <v>2</v>
      </c>
      <c r="B406" s="96" t="s">
        <v>8</v>
      </c>
      <c r="C406" s="185" t="s">
        <v>70</v>
      </c>
      <c r="D406" s="88">
        <v>1.23</v>
      </c>
      <c r="E406" s="186">
        <v>0.86</v>
      </c>
      <c r="F406" s="187">
        <f>(E406*D406)</f>
        <v>1.0578000000000001</v>
      </c>
    </row>
    <row r="407" spans="1:6">
      <c r="A407" s="184"/>
      <c r="B407" s="91" t="s">
        <v>69</v>
      </c>
      <c r="C407" s="185"/>
      <c r="D407" s="93">
        <v>0.34</v>
      </c>
      <c r="E407" s="186">
        <v>200</v>
      </c>
      <c r="F407" s="187">
        <f t="shared" ref="F407:F418" si="12">(E407*D407)</f>
        <v>68</v>
      </c>
    </row>
    <row r="408" spans="1:6">
      <c r="A408" s="17">
        <v>3</v>
      </c>
      <c r="B408" s="95" t="s">
        <v>11</v>
      </c>
      <c r="C408" s="185" t="s">
        <v>70</v>
      </c>
      <c r="D408" s="88">
        <v>1.23</v>
      </c>
      <c r="E408" s="186">
        <v>1.1599999999999999</v>
      </c>
      <c r="F408" s="187">
        <f t="shared" si="12"/>
        <v>1.4267999999999998</v>
      </c>
    </row>
    <row r="409" spans="1:6">
      <c r="A409" s="17">
        <v>4</v>
      </c>
      <c r="B409" s="95" t="s">
        <v>288</v>
      </c>
      <c r="C409" s="133" t="s">
        <v>289</v>
      </c>
      <c r="D409" s="88">
        <v>1.23</v>
      </c>
      <c r="E409" s="134">
        <v>10.56</v>
      </c>
      <c r="F409" s="187">
        <f t="shared" si="12"/>
        <v>12.988800000000001</v>
      </c>
    </row>
    <row r="410" spans="1:6">
      <c r="A410" s="184">
        <v>5</v>
      </c>
      <c r="B410" s="96" t="s">
        <v>8</v>
      </c>
      <c r="C410" s="185" t="s">
        <v>45</v>
      </c>
      <c r="D410" s="88">
        <v>1.23</v>
      </c>
      <c r="E410" s="186">
        <v>0.86</v>
      </c>
      <c r="F410" s="187">
        <f t="shared" si="12"/>
        <v>1.0578000000000001</v>
      </c>
    </row>
    <row r="411" spans="1:6">
      <c r="A411" s="184"/>
      <c r="B411" s="91" t="s">
        <v>19</v>
      </c>
      <c r="C411" s="185"/>
      <c r="D411" s="97">
        <v>0.26</v>
      </c>
      <c r="E411" s="186">
        <v>200</v>
      </c>
      <c r="F411" s="187">
        <f t="shared" si="12"/>
        <v>52</v>
      </c>
    </row>
    <row r="412" spans="1:6">
      <c r="A412" s="17">
        <v>6</v>
      </c>
      <c r="B412" s="95" t="s">
        <v>11</v>
      </c>
      <c r="C412" s="185" t="s">
        <v>45</v>
      </c>
      <c r="D412" s="88">
        <v>1.23</v>
      </c>
      <c r="E412" s="186">
        <v>1.1599999999999999</v>
      </c>
      <c r="F412" s="187">
        <f t="shared" si="12"/>
        <v>1.4267999999999998</v>
      </c>
    </row>
    <row r="413" spans="1:6">
      <c r="A413" s="17">
        <v>7</v>
      </c>
      <c r="B413" s="96" t="s">
        <v>47</v>
      </c>
      <c r="C413" s="133" t="s">
        <v>61</v>
      </c>
      <c r="D413" s="88">
        <v>1.23</v>
      </c>
      <c r="E413" s="209">
        <v>1.56</v>
      </c>
      <c r="F413" s="187">
        <f t="shared" si="12"/>
        <v>1.9188000000000001</v>
      </c>
    </row>
    <row r="414" spans="1:6">
      <c r="A414" s="17">
        <v>8</v>
      </c>
      <c r="B414" s="96" t="s">
        <v>48</v>
      </c>
      <c r="C414" s="133" t="s">
        <v>61</v>
      </c>
      <c r="D414" s="88">
        <v>1.23</v>
      </c>
      <c r="E414" s="134">
        <v>1.84</v>
      </c>
      <c r="F414" s="187">
        <f t="shared" si="12"/>
        <v>2.2631999999999999</v>
      </c>
    </row>
    <row r="415" spans="1:6">
      <c r="A415" s="17"/>
      <c r="B415" s="96" t="s">
        <v>384</v>
      </c>
      <c r="C415" s="133" t="s">
        <v>45</v>
      </c>
      <c r="D415" s="104">
        <v>15.5</v>
      </c>
      <c r="E415" s="134">
        <v>1</v>
      </c>
      <c r="F415" s="187">
        <f t="shared" si="12"/>
        <v>15.5</v>
      </c>
    </row>
    <row r="416" spans="1:6">
      <c r="A416" s="17"/>
      <c r="B416" s="96" t="s">
        <v>319</v>
      </c>
      <c r="C416" s="136"/>
      <c r="D416" s="88">
        <v>12.11</v>
      </c>
      <c r="E416" s="134">
        <v>1</v>
      </c>
      <c r="F416" s="187">
        <f t="shared" si="12"/>
        <v>12.11</v>
      </c>
    </row>
    <row r="417" spans="1:7">
      <c r="A417" s="17"/>
      <c r="B417" s="96" t="s">
        <v>285</v>
      </c>
      <c r="C417" s="136" t="s">
        <v>54</v>
      </c>
      <c r="D417" s="88">
        <v>6.46</v>
      </c>
      <c r="E417" s="134">
        <v>2.5</v>
      </c>
      <c r="F417" s="187">
        <f t="shared" si="12"/>
        <v>16.149999999999999</v>
      </c>
    </row>
    <row r="418" spans="1:7" ht="13.5" thickBot="1">
      <c r="A418" s="30">
        <v>9</v>
      </c>
      <c r="B418" s="105" t="s">
        <v>387</v>
      </c>
      <c r="C418" s="106" t="s">
        <v>79</v>
      </c>
      <c r="D418" s="107">
        <v>1.23</v>
      </c>
      <c r="E418" s="108">
        <v>20</v>
      </c>
      <c r="F418" s="109">
        <f t="shared" si="12"/>
        <v>24.6</v>
      </c>
    </row>
    <row r="419" spans="1:7">
      <c r="A419" s="454" t="s">
        <v>30</v>
      </c>
      <c r="B419" s="455"/>
      <c r="C419" s="110"/>
      <c r="D419" s="202"/>
      <c r="E419" s="203"/>
      <c r="F419" s="204">
        <f>SUM(F405:F418)</f>
        <v>232.1234</v>
      </c>
      <c r="G419" s="240">
        <f>F401*F419</f>
        <v>0</v>
      </c>
    </row>
    <row r="420" spans="1:7" ht="13.5" thickBot="1">
      <c r="A420" s="467" t="s">
        <v>31</v>
      </c>
      <c r="B420" s="468"/>
      <c r="C420" s="469"/>
      <c r="D420" s="105"/>
      <c r="E420" s="205">
        <f>E405+E406+E408+E409+E410+E412+E413+E414+E418</f>
        <v>55.58</v>
      </c>
      <c r="F420" s="206"/>
      <c r="G420" s="118" t="s">
        <v>277</v>
      </c>
    </row>
    <row r="421" spans="1:7" ht="13.5" thickBot="1"/>
    <row r="422" spans="1:7" ht="12" customHeight="1">
      <c r="A422" s="456" t="s">
        <v>32</v>
      </c>
      <c r="B422" s="457"/>
      <c r="C422" s="457"/>
      <c r="D422" s="457"/>
      <c r="E422" s="457"/>
      <c r="F422" s="458"/>
    </row>
    <row r="423" spans="1:7" ht="15" customHeight="1">
      <c r="A423" s="459"/>
      <c r="B423" s="460"/>
      <c r="C423" s="460"/>
      <c r="D423" s="460"/>
      <c r="E423" s="460"/>
      <c r="F423" s="461"/>
    </row>
    <row r="424" spans="1:7" ht="15" customHeight="1" thickBot="1">
      <c r="A424" s="462"/>
      <c r="B424" s="463"/>
      <c r="C424" s="463"/>
      <c r="D424" s="463"/>
      <c r="E424" s="463"/>
      <c r="F424" s="464"/>
    </row>
    <row r="425" spans="1:7" ht="13.5" thickBot="1">
      <c r="C425" s="176"/>
      <c r="D425" s="176"/>
      <c r="E425" s="176"/>
      <c r="F425" s="176"/>
    </row>
    <row r="426" spans="1:7" ht="13.5" customHeight="1" thickBot="1">
      <c r="B426" s="2" t="s">
        <v>708</v>
      </c>
      <c r="D426" s="470" t="s">
        <v>1</v>
      </c>
      <c r="E426" s="471"/>
      <c r="F426" s="81">
        <v>0</v>
      </c>
    </row>
    <row r="427" spans="1:7" ht="13.5" customHeight="1" thickBot="1">
      <c r="D427" s="2"/>
      <c r="E427" s="127"/>
      <c r="F427" s="127"/>
    </row>
    <row r="428" spans="1:7" ht="11.25" customHeight="1">
      <c r="A428" s="472" t="s">
        <v>276</v>
      </c>
      <c r="B428" s="473"/>
      <c r="C428" s="473"/>
      <c r="D428" s="473"/>
      <c r="E428" s="465" t="s">
        <v>2</v>
      </c>
      <c r="F428" s="466"/>
    </row>
    <row r="429" spans="1:7" ht="51.75" thickBot="1">
      <c r="A429" s="372" t="s">
        <v>716</v>
      </c>
      <c r="B429" s="84" t="s">
        <v>3</v>
      </c>
      <c r="C429" s="84" t="s">
        <v>4</v>
      </c>
      <c r="D429" s="84" t="s">
        <v>5</v>
      </c>
      <c r="E429" s="85" t="s">
        <v>6</v>
      </c>
      <c r="F429" s="86" t="s">
        <v>7</v>
      </c>
    </row>
    <row r="430" spans="1:7" ht="13.5" thickTop="1">
      <c r="A430" s="11">
        <v>1</v>
      </c>
      <c r="B430" s="54" t="s">
        <v>394</v>
      </c>
      <c r="C430" s="132" t="s">
        <v>43</v>
      </c>
      <c r="D430" s="88">
        <v>1.23</v>
      </c>
      <c r="E430" s="129">
        <v>1.42</v>
      </c>
      <c r="F430" s="130">
        <f>E430*D430</f>
        <v>1.7465999999999999</v>
      </c>
    </row>
    <row r="431" spans="1:7">
      <c r="A431" s="17">
        <v>2</v>
      </c>
      <c r="B431" s="96" t="s">
        <v>699</v>
      </c>
      <c r="C431" s="133" t="s">
        <v>43</v>
      </c>
      <c r="D431" s="88">
        <v>1.23</v>
      </c>
      <c r="E431" s="134">
        <v>7.5</v>
      </c>
      <c r="F431" s="58">
        <f>E431*D431</f>
        <v>9.2249999999999996</v>
      </c>
    </row>
    <row r="432" spans="1:7">
      <c r="A432" s="17">
        <v>3</v>
      </c>
      <c r="B432" s="135" t="s">
        <v>700</v>
      </c>
      <c r="C432" s="133" t="s">
        <v>43</v>
      </c>
      <c r="D432" s="88">
        <v>1.23</v>
      </c>
      <c r="E432" s="134">
        <v>4.4000000000000004</v>
      </c>
      <c r="F432" s="58">
        <f t="shared" ref="F432:F433" si="13">E432*D432</f>
        <v>5.4119999999999999</v>
      </c>
    </row>
    <row r="433" spans="1:6">
      <c r="A433" s="17">
        <v>4</v>
      </c>
      <c r="B433" s="91" t="s">
        <v>13</v>
      </c>
      <c r="C433" s="133" t="s">
        <v>70</v>
      </c>
      <c r="D433" s="88">
        <v>1.23</v>
      </c>
      <c r="E433" s="134">
        <v>3.9</v>
      </c>
      <c r="F433" s="58">
        <f t="shared" si="13"/>
        <v>4.7969999999999997</v>
      </c>
    </row>
    <row r="434" spans="1:6">
      <c r="A434" s="353">
        <v>5</v>
      </c>
      <c r="B434" s="96" t="s">
        <v>8</v>
      </c>
      <c r="C434" s="185" t="s">
        <v>70</v>
      </c>
      <c r="D434" s="88">
        <v>1.23</v>
      </c>
      <c r="E434" s="186">
        <v>2.16</v>
      </c>
      <c r="F434" s="187">
        <f>(E434*D434)</f>
        <v>2.6568000000000001</v>
      </c>
    </row>
    <row r="435" spans="1:6">
      <c r="A435" s="353"/>
      <c r="B435" s="91" t="s">
        <v>69</v>
      </c>
      <c r="C435" s="185" t="s">
        <v>70</v>
      </c>
      <c r="D435" s="93">
        <v>0.34</v>
      </c>
      <c r="E435" s="186">
        <v>200</v>
      </c>
      <c r="F435" s="187">
        <f t="shared" ref="F435:F453" si="14">(E435*D435)</f>
        <v>68</v>
      </c>
    </row>
    <row r="436" spans="1:6">
      <c r="A436" s="17">
        <v>6</v>
      </c>
      <c r="B436" s="95" t="s">
        <v>11</v>
      </c>
      <c r="C436" s="185" t="s">
        <v>70</v>
      </c>
      <c r="D436" s="88">
        <v>1.23</v>
      </c>
      <c r="E436" s="186">
        <v>1.1599999999999999</v>
      </c>
      <c r="F436" s="187">
        <f t="shared" si="14"/>
        <v>1.4267999999999998</v>
      </c>
    </row>
    <row r="437" spans="1:6">
      <c r="A437" s="17">
        <v>7</v>
      </c>
      <c r="B437" s="95" t="s">
        <v>288</v>
      </c>
      <c r="C437" s="133" t="s">
        <v>289</v>
      </c>
      <c r="D437" s="88">
        <v>1.23</v>
      </c>
      <c r="E437" s="134">
        <v>10.56</v>
      </c>
      <c r="F437" s="187">
        <f t="shared" si="14"/>
        <v>12.988800000000001</v>
      </c>
    </row>
    <row r="438" spans="1:6">
      <c r="A438" s="17">
        <v>8</v>
      </c>
      <c r="B438" s="96" t="s">
        <v>8</v>
      </c>
      <c r="C438" s="133" t="s">
        <v>45</v>
      </c>
      <c r="D438" s="88">
        <v>1.23</v>
      </c>
      <c r="E438" s="134">
        <v>2.16</v>
      </c>
      <c r="F438" s="187">
        <f t="shared" si="14"/>
        <v>2.6568000000000001</v>
      </c>
    </row>
    <row r="439" spans="1:6">
      <c r="A439" s="17"/>
      <c r="B439" s="91" t="s">
        <v>19</v>
      </c>
      <c r="C439" s="133" t="s">
        <v>45</v>
      </c>
      <c r="D439" s="97">
        <v>0.26</v>
      </c>
      <c r="E439" s="134">
        <v>400</v>
      </c>
      <c r="F439" s="187">
        <f t="shared" si="14"/>
        <v>104</v>
      </c>
    </row>
    <row r="440" spans="1:6">
      <c r="A440" s="17">
        <v>9</v>
      </c>
      <c r="B440" s="95" t="s">
        <v>11</v>
      </c>
      <c r="C440" s="133" t="s">
        <v>45</v>
      </c>
      <c r="D440" s="88">
        <v>1.23</v>
      </c>
      <c r="E440" s="134">
        <v>1.1599999999999999</v>
      </c>
      <c r="F440" s="187">
        <f t="shared" si="14"/>
        <v>1.4267999999999998</v>
      </c>
    </row>
    <row r="441" spans="1:6">
      <c r="A441" s="17">
        <v>10</v>
      </c>
      <c r="B441" s="96" t="s">
        <v>290</v>
      </c>
      <c r="C441" s="133" t="s">
        <v>711</v>
      </c>
      <c r="D441" s="88">
        <v>1.23</v>
      </c>
      <c r="E441" s="209">
        <v>5.46</v>
      </c>
      <c r="F441" s="187">
        <f t="shared" si="14"/>
        <v>6.7157999999999998</v>
      </c>
    </row>
    <row r="442" spans="1:6">
      <c r="A442" s="17">
        <v>11</v>
      </c>
      <c r="B442" s="96" t="s">
        <v>292</v>
      </c>
      <c r="C442" s="133" t="s">
        <v>711</v>
      </c>
      <c r="D442" s="88">
        <v>1.23</v>
      </c>
      <c r="E442" s="134">
        <v>6.44</v>
      </c>
      <c r="F442" s="187">
        <f t="shared" si="14"/>
        <v>7.9212000000000007</v>
      </c>
    </row>
    <row r="443" spans="1:6">
      <c r="A443" s="17"/>
      <c r="B443" s="96" t="s">
        <v>304</v>
      </c>
      <c r="C443" s="133" t="s">
        <v>18</v>
      </c>
      <c r="D443" s="104">
        <v>10.01</v>
      </c>
      <c r="E443" s="134">
        <v>6</v>
      </c>
      <c r="F443" s="187">
        <f t="shared" ref="F443" si="15">(E443*D443)</f>
        <v>60.06</v>
      </c>
    </row>
    <row r="444" spans="1:6">
      <c r="A444" s="17"/>
      <c r="B444" s="96" t="s">
        <v>701</v>
      </c>
      <c r="C444" s="136" t="s">
        <v>18</v>
      </c>
      <c r="D444" s="88">
        <v>8.48</v>
      </c>
      <c r="E444" s="134">
        <v>3.5</v>
      </c>
      <c r="F444" s="187">
        <f t="shared" si="14"/>
        <v>29.68</v>
      </c>
    </row>
    <row r="445" spans="1:6">
      <c r="A445" s="17"/>
      <c r="B445" s="96" t="s">
        <v>702</v>
      </c>
      <c r="C445" s="136" t="s">
        <v>45</v>
      </c>
      <c r="D445" s="88">
        <v>11.71</v>
      </c>
      <c r="E445" s="134">
        <v>2</v>
      </c>
      <c r="F445" s="187">
        <f t="shared" ref="F445" si="16">(E445*D445)</f>
        <v>23.42</v>
      </c>
    </row>
    <row r="446" spans="1:6">
      <c r="A446" s="17"/>
      <c r="B446" s="95" t="s">
        <v>703</v>
      </c>
      <c r="C446" s="136" t="s">
        <v>21</v>
      </c>
      <c r="D446" s="218">
        <v>43.62</v>
      </c>
      <c r="E446" s="215">
        <v>0.2</v>
      </c>
      <c r="F446" s="187">
        <f t="shared" ref="F446:F449" si="17">(E446*D446)</f>
        <v>8.7240000000000002</v>
      </c>
    </row>
    <row r="447" spans="1:6">
      <c r="A447" s="17"/>
      <c r="B447" s="95" t="s">
        <v>704</v>
      </c>
      <c r="C447" s="136" t="s">
        <v>21</v>
      </c>
      <c r="D447" s="139">
        <v>7.19</v>
      </c>
      <c r="E447" s="215">
        <v>3</v>
      </c>
      <c r="F447" s="187">
        <f t="shared" ref="F447" si="18">(E447*D447)</f>
        <v>21.57</v>
      </c>
    </row>
    <row r="448" spans="1:6">
      <c r="A448" s="17"/>
      <c r="B448" s="95" t="s">
        <v>297</v>
      </c>
      <c r="C448" s="136" t="s">
        <v>21</v>
      </c>
      <c r="D448" s="139">
        <v>12.11</v>
      </c>
      <c r="E448" s="215">
        <v>1</v>
      </c>
      <c r="F448" s="187">
        <f t="shared" si="17"/>
        <v>12.11</v>
      </c>
    </row>
    <row r="449" spans="1:7">
      <c r="A449" s="17"/>
      <c r="B449" s="96" t="s">
        <v>487</v>
      </c>
      <c r="C449" s="136" t="s">
        <v>54</v>
      </c>
      <c r="D449" s="88">
        <v>292.69</v>
      </c>
      <c r="E449" s="134">
        <v>0.2</v>
      </c>
      <c r="F449" s="187">
        <f t="shared" si="17"/>
        <v>58.538000000000004</v>
      </c>
    </row>
    <row r="450" spans="1:7">
      <c r="A450" s="17"/>
      <c r="B450" s="96" t="s">
        <v>705</v>
      </c>
      <c r="C450" s="136" t="s">
        <v>54</v>
      </c>
      <c r="D450" s="88">
        <v>12.11</v>
      </c>
      <c r="E450" s="134">
        <v>1</v>
      </c>
      <c r="F450" s="187">
        <f t="shared" si="14"/>
        <v>12.11</v>
      </c>
    </row>
    <row r="451" spans="1:7">
      <c r="A451" s="17"/>
      <c r="B451" s="96" t="s">
        <v>709</v>
      </c>
      <c r="C451" s="136" t="s">
        <v>34</v>
      </c>
      <c r="D451" s="88">
        <v>12.11</v>
      </c>
      <c r="E451" s="134">
        <v>1</v>
      </c>
      <c r="F451" s="187">
        <f t="shared" ref="F451:F452" si="19">(E451*D451)</f>
        <v>12.11</v>
      </c>
    </row>
    <row r="452" spans="1:7">
      <c r="A452" s="353"/>
      <c r="B452" s="96" t="s">
        <v>301</v>
      </c>
      <c r="C452" s="133" t="s">
        <v>43</v>
      </c>
      <c r="D452" s="104">
        <v>10.01</v>
      </c>
      <c r="E452" s="134">
        <v>6</v>
      </c>
      <c r="F452" s="187">
        <f t="shared" si="19"/>
        <v>60.06</v>
      </c>
    </row>
    <row r="453" spans="1:7" ht="13.5" thickBot="1">
      <c r="A453" s="30">
        <v>12</v>
      </c>
      <c r="B453" s="105" t="s">
        <v>706</v>
      </c>
      <c r="C453" s="140" t="s">
        <v>707</v>
      </c>
      <c r="D453" s="107">
        <v>1.23</v>
      </c>
      <c r="E453" s="116">
        <v>15</v>
      </c>
      <c r="F453" s="109">
        <f t="shared" si="14"/>
        <v>18.45</v>
      </c>
    </row>
    <row r="454" spans="1:7">
      <c r="A454" s="454" t="s">
        <v>30</v>
      </c>
      <c r="B454" s="455"/>
      <c r="C454" s="110"/>
      <c r="D454" s="202"/>
      <c r="E454" s="219"/>
      <c r="F454" s="222">
        <f>SUM(F430:F453)</f>
        <v>545.80560000000014</v>
      </c>
      <c r="G454" s="240">
        <f>F426*F454</f>
        <v>0</v>
      </c>
    </row>
    <row r="455" spans="1:7" ht="13.5" thickBot="1">
      <c r="A455" s="467" t="s">
        <v>31</v>
      </c>
      <c r="B455" s="468"/>
      <c r="C455" s="469"/>
      <c r="D455" s="105"/>
      <c r="E455" s="205">
        <f>E430+E431+E432+E433+E434+E436+E437+E438+E440+E441+E442+E453</f>
        <v>61.32</v>
      </c>
      <c r="F455" s="206"/>
      <c r="G455" s="118" t="s">
        <v>277</v>
      </c>
    </row>
    <row r="456" spans="1:7" ht="13.5" thickBot="1"/>
    <row r="457" spans="1:7" ht="12" customHeight="1">
      <c r="A457" s="456" t="s">
        <v>710</v>
      </c>
      <c r="B457" s="457"/>
      <c r="C457" s="457"/>
      <c r="D457" s="457"/>
      <c r="E457" s="457"/>
      <c r="F457" s="458"/>
    </row>
    <row r="458" spans="1:7" ht="15" customHeight="1">
      <c r="A458" s="459"/>
      <c r="B458" s="460"/>
      <c r="C458" s="460"/>
      <c r="D458" s="460"/>
      <c r="E458" s="460"/>
      <c r="F458" s="461"/>
    </row>
    <row r="459" spans="1:7" ht="15" customHeight="1" thickBot="1">
      <c r="A459" s="462"/>
      <c r="B459" s="463"/>
      <c r="C459" s="463"/>
      <c r="D459" s="463"/>
      <c r="E459" s="463"/>
      <c r="F459" s="464"/>
    </row>
  </sheetData>
  <mergeCells count="84">
    <mergeCell ref="A457:F459"/>
    <mergeCell ref="D426:E426"/>
    <mergeCell ref="A428:D428"/>
    <mergeCell ref="E428:F428"/>
    <mergeCell ref="A454:B454"/>
    <mergeCell ref="A455:C455"/>
    <mergeCell ref="A419:B419"/>
    <mergeCell ref="A420:C420"/>
    <mergeCell ref="A22:F24"/>
    <mergeCell ref="A55:F57"/>
    <mergeCell ref="A394:B394"/>
    <mergeCell ref="A395:C395"/>
    <mergeCell ref="A403:D403"/>
    <mergeCell ref="E403:F403"/>
    <mergeCell ref="A369:B369"/>
    <mergeCell ref="A370:C370"/>
    <mergeCell ref="A378:D378"/>
    <mergeCell ref="E378:F378"/>
    <mergeCell ref="A343:B343"/>
    <mergeCell ref="A344:C344"/>
    <mergeCell ref="A352:D352"/>
    <mergeCell ref="E352:F352"/>
    <mergeCell ref="A346:F348"/>
    <mergeCell ref="A278:B278"/>
    <mergeCell ref="A279:C279"/>
    <mergeCell ref="A287:D287"/>
    <mergeCell ref="E287:F287"/>
    <mergeCell ref="A281:F283"/>
    <mergeCell ref="A308:B308"/>
    <mergeCell ref="A309:C309"/>
    <mergeCell ref="A317:D317"/>
    <mergeCell ref="E317:F317"/>
    <mergeCell ref="A311:F313"/>
    <mergeCell ref="A237:B237"/>
    <mergeCell ref="A238:C238"/>
    <mergeCell ref="A246:D246"/>
    <mergeCell ref="E246:F246"/>
    <mergeCell ref="A240:F242"/>
    <mergeCell ref="A212:B212"/>
    <mergeCell ref="A213:C213"/>
    <mergeCell ref="A221:D221"/>
    <mergeCell ref="E221:F221"/>
    <mergeCell ref="A215:F217"/>
    <mergeCell ref="A178:B178"/>
    <mergeCell ref="A179:C179"/>
    <mergeCell ref="A187:D187"/>
    <mergeCell ref="E187:F187"/>
    <mergeCell ref="A181:F183"/>
    <mergeCell ref="A90:D90"/>
    <mergeCell ref="E90:F90"/>
    <mergeCell ref="A131:B131"/>
    <mergeCell ref="A132:C132"/>
    <mergeCell ref="A140:D140"/>
    <mergeCell ref="E140:F140"/>
    <mergeCell ref="A134:F136"/>
    <mergeCell ref="A3:D3"/>
    <mergeCell ref="E3:F3"/>
    <mergeCell ref="A19:B19"/>
    <mergeCell ref="A20:C20"/>
    <mergeCell ref="A84:F86"/>
    <mergeCell ref="A53:C53"/>
    <mergeCell ref="A61:D61"/>
    <mergeCell ref="E61:F61"/>
    <mergeCell ref="A28:D28"/>
    <mergeCell ref="E28:F28"/>
    <mergeCell ref="A52:B52"/>
    <mergeCell ref="A81:B81"/>
    <mergeCell ref="A82:C82"/>
    <mergeCell ref="A372:F374"/>
    <mergeCell ref="A397:F399"/>
    <mergeCell ref="A422:F424"/>
    <mergeCell ref="D1:E1"/>
    <mergeCell ref="D26:E26"/>
    <mergeCell ref="D59:E59"/>
    <mergeCell ref="D88:E88"/>
    <mergeCell ref="D138:E138"/>
    <mergeCell ref="D185:E185"/>
    <mergeCell ref="D219:E219"/>
    <mergeCell ref="D244:E244"/>
    <mergeCell ref="D285:E285"/>
    <mergeCell ref="D315:E315"/>
    <mergeCell ref="D350:E350"/>
    <mergeCell ref="D376:E376"/>
    <mergeCell ref="D401:E401"/>
  </mergeCells>
  <pageMargins left="0.7" right="0.7" top="0.75" bottom="0.75" header="0.3" footer="0.3"/>
  <pageSetup paperSize="9" scale="66" orientation="portrait" r:id="rId1"/>
  <rowBreaks count="6" manualBreakCount="6">
    <brk id="57" max="16383" man="1"/>
    <brk id="136" max="16383" man="1"/>
    <brk id="217" max="16383" man="1"/>
    <brk id="283" max="16383" man="1"/>
    <brk id="348" max="16383" man="1"/>
    <brk id="4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6"/>
  <sheetViews>
    <sheetView workbookViewId="0">
      <selection activeCell="G1" sqref="G1"/>
    </sheetView>
  </sheetViews>
  <sheetFormatPr defaultRowHeight="12.75"/>
  <cols>
    <col min="1" max="1" width="3.5703125" style="1" customWidth="1"/>
    <col min="2" max="2" width="30.7109375" style="3" customWidth="1"/>
    <col min="3" max="5" width="10.7109375" style="3" customWidth="1"/>
    <col min="6" max="7" width="17.7109375" style="3" customWidth="1"/>
    <col min="8" max="9" width="10.140625" style="3" customWidth="1"/>
    <col min="10" max="251" width="9.140625" style="3"/>
    <col min="252" max="252" width="28.5703125" style="3" bestFit="1" customWidth="1"/>
    <col min="253" max="255" width="9.7109375" style="3" customWidth="1"/>
    <col min="256" max="256" width="14.28515625" style="3" customWidth="1"/>
    <col min="257" max="258" width="14.7109375" style="3" customWidth="1"/>
    <col min="259" max="259" width="9.28515625" style="3" bestFit="1" customWidth="1"/>
    <col min="260" max="260" width="9.42578125" style="3" bestFit="1" customWidth="1"/>
    <col min="261" max="507" width="9.140625" style="3"/>
    <col min="508" max="508" width="28.5703125" style="3" bestFit="1" customWidth="1"/>
    <col min="509" max="511" width="9.7109375" style="3" customWidth="1"/>
    <col min="512" max="512" width="14.28515625" style="3" customWidth="1"/>
    <col min="513" max="514" width="14.7109375" style="3" customWidth="1"/>
    <col min="515" max="515" width="9.28515625" style="3" bestFit="1" customWidth="1"/>
    <col min="516" max="516" width="9.42578125" style="3" bestFit="1" customWidth="1"/>
    <col min="517" max="763" width="9.140625" style="3"/>
    <col min="764" max="764" width="28.5703125" style="3" bestFit="1" customWidth="1"/>
    <col min="765" max="767" width="9.7109375" style="3" customWidth="1"/>
    <col min="768" max="768" width="14.28515625" style="3" customWidth="1"/>
    <col min="769" max="770" width="14.7109375" style="3" customWidth="1"/>
    <col min="771" max="771" width="9.28515625" style="3" bestFit="1" customWidth="1"/>
    <col min="772" max="772" width="9.42578125" style="3" bestFit="1" customWidth="1"/>
    <col min="773" max="1019" width="9.140625" style="3"/>
    <col min="1020" max="1020" width="28.5703125" style="3" bestFit="1" customWidth="1"/>
    <col min="1021" max="1023" width="9.7109375" style="3" customWidth="1"/>
    <col min="1024" max="1024" width="14.28515625" style="3" customWidth="1"/>
    <col min="1025" max="1026" width="14.7109375" style="3" customWidth="1"/>
    <col min="1027" max="1027" width="9.28515625" style="3" bestFit="1" customWidth="1"/>
    <col min="1028" max="1028" width="9.42578125" style="3" bestFit="1" customWidth="1"/>
    <col min="1029" max="1275" width="9.140625" style="3"/>
    <col min="1276" max="1276" width="28.5703125" style="3" bestFit="1" customWidth="1"/>
    <col min="1277" max="1279" width="9.7109375" style="3" customWidth="1"/>
    <col min="1280" max="1280" width="14.28515625" style="3" customWidth="1"/>
    <col min="1281" max="1282" width="14.7109375" style="3" customWidth="1"/>
    <col min="1283" max="1283" width="9.28515625" style="3" bestFit="1" customWidth="1"/>
    <col min="1284" max="1284" width="9.42578125" style="3" bestFit="1" customWidth="1"/>
    <col min="1285" max="1531" width="9.140625" style="3"/>
    <col min="1532" max="1532" width="28.5703125" style="3" bestFit="1" customWidth="1"/>
    <col min="1533" max="1535" width="9.7109375" style="3" customWidth="1"/>
    <col min="1536" max="1536" width="14.28515625" style="3" customWidth="1"/>
    <col min="1537" max="1538" width="14.7109375" style="3" customWidth="1"/>
    <col min="1539" max="1539" width="9.28515625" style="3" bestFit="1" customWidth="1"/>
    <col min="1540" max="1540" width="9.42578125" style="3" bestFit="1" customWidth="1"/>
    <col min="1541" max="1787" width="9.140625" style="3"/>
    <col min="1788" max="1788" width="28.5703125" style="3" bestFit="1" customWidth="1"/>
    <col min="1789" max="1791" width="9.7109375" style="3" customWidth="1"/>
    <col min="1792" max="1792" width="14.28515625" style="3" customWidth="1"/>
    <col min="1793" max="1794" width="14.7109375" style="3" customWidth="1"/>
    <col min="1795" max="1795" width="9.28515625" style="3" bestFit="1" customWidth="1"/>
    <col min="1796" max="1796" width="9.42578125" style="3" bestFit="1" customWidth="1"/>
    <col min="1797" max="2043" width="9.140625" style="3"/>
    <col min="2044" max="2044" width="28.5703125" style="3" bestFit="1" customWidth="1"/>
    <col min="2045" max="2047" width="9.7109375" style="3" customWidth="1"/>
    <col min="2048" max="2048" width="14.28515625" style="3" customWidth="1"/>
    <col min="2049" max="2050" width="14.7109375" style="3" customWidth="1"/>
    <col min="2051" max="2051" width="9.28515625" style="3" bestFit="1" customWidth="1"/>
    <col min="2052" max="2052" width="9.42578125" style="3" bestFit="1" customWidth="1"/>
    <col min="2053" max="2299" width="9.140625" style="3"/>
    <col min="2300" max="2300" width="28.5703125" style="3" bestFit="1" customWidth="1"/>
    <col min="2301" max="2303" width="9.7109375" style="3" customWidth="1"/>
    <col min="2304" max="2304" width="14.28515625" style="3" customWidth="1"/>
    <col min="2305" max="2306" width="14.7109375" style="3" customWidth="1"/>
    <col min="2307" max="2307" width="9.28515625" style="3" bestFit="1" customWidth="1"/>
    <col min="2308" max="2308" width="9.42578125" style="3" bestFit="1" customWidth="1"/>
    <col min="2309" max="2555" width="9.140625" style="3"/>
    <col min="2556" max="2556" width="28.5703125" style="3" bestFit="1" customWidth="1"/>
    <col min="2557" max="2559" width="9.7109375" style="3" customWidth="1"/>
    <col min="2560" max="2560" width="14.28515625" style="3" customWidth="1"/>
    <col min="2561" max="2562" width="14.7109375" style="3" customWidth="1"/>
    <col min="2563" max="2563" width="9.28515625" style="3" bestFit="1" customWidth="1"/>
    <col min="2564" max="2564" width="9.42578125" style="3" bestFit="1" customWidth="1"/>
    <col min="2565" max="2811" width="9.140625" style="3"/>
    <col min="2812" max="2812" width="28.5703125" style="3" bestFit="1" customWidth="1"/>
    <col min="2813" max="2815" width="9.7109375" style="3" customWidth="1"/>
    <col min="2816" max="2816" width="14.28515625" style="3" customWidth="1"/>
    <col min="2817" max="2818" width="14.7109375" style="3" customWidth="1"/>
    <col min="2819" max="2819" width="9.28515625" style="3" bestFit="1" customWidth="1"/>
    <col min="2820" max="2820" width="9.42578125" style="3" bestFit="1" customWidth="1"/>
    <col min="2821" max="3067" width="9.140625" style="3"/>
    <col min="3068" max="3068" width="28.5703125" style="3" bestFit="1" customWidth="1"/>
    <col min="3069" max="3071" width="9.7109375" style="3" customWidth="1"/>
    <col min="3072" max="3072" width="14.28515625" style="3" customWidth="1"/>
    <col min="3073" max="3074" width="14.7109375" style="3" customWidth="1"/>
    <col min="3075" max="3075" width="9.28515625" style="3" bestFit="1" customWidth="1"/>
    <col min="3076" max="3076" width="9.42578125" style="3" bestFit="1" customWidth="1"/>
    <col min="3077" max="3323" width="9.140625" style="3"/>
    <col min="3324" max="3324" width="28.5703125" style="3" bestFit="1" customWidth="1"/>
    <col min="3325" max="3327" width="9.7109375" style="3" customWidth="1"/>
    <col min="3328" max="3328" width="14.28515625" style="3" customWidth="1"/>
    <col min="3329" max="3330" width="14.7109375" style="3" customWidth="1"/>
    <col min="3331" max="3331" width="9.28515625" style="3" bestFit="1" customWidth="1"/>
    <col min="3332" max="3332" width="9.42578125" style="3" bestFit="1" customWidth="1"/>
    <col min="3333" max="3579" width="9.140625" style="3"/>
    <col min="3580" max="3580" width="28.5703125" style="3" bestFit="1" customWidth="1"/>
    <col min="3581" max="3583" width="9.7109375" style="3" customWidth="1"/>
    <col min="3584" max="3584" width="14.28515625" style="3" customWidth="1"/>
    <col min="3585" max="3586" width="14.7109375" style="3" customWidth="1"/>
    <col min="3587" max="3587" width="9.28515625" style="3" bestFit="1" customWidth="1"/>
    <col min="3588" max="3588" width="9.42578125" style="3" bestFit="1" customWidth="1"/>
    <col min="3589" max="3835" width="9.140625" style="3"/>
    <col min="3836" max="3836" width="28.5703125" style="3" bestFit="1" customWidth="1"/>
    <col min="3837" max="3839" width="9.7109375" style="3" customWidth="1"/>
    <col min="3840" max="3840" width="14.28515625" style="3" customWidth="1"/>
    <col min="3841" max="3842" width="14.7109375" style="3" customWidth="1"/>
    <col min="3843" max="3843" width="9.28515625" style="3" bestFit="1" customWidth="1"/>
    <col min="3844" max="3844" width="9.42578125" style="3" bestFit="1" customWidth="1"/>
    <col min="3845" max="4091" width="9.140625" style="3"/>
    <col min="4092" max="4092" width="28.5703125" style="3" bestFit="1" customWidth="1"/>
    <col min="4093" max="4095" width="9.7109375" style="3" customWidth="1"/>
    <col min="4096" max="4096" width="14.28515625" style="3" customWidth="1"/>
    <col min="4097" max="4098" width="14.7109375" style="3" customWidth="1"/>
    <col min="4099" max="4099" width="9.28515625" style="3" bestFit="1" customWidth="1"/>
    <col min="4100" max="4100" width="9.42578125" style="3" bestFit="1" customWidth="1"/>
    <col min="4101" max="4347" width="9.140625" style="3"/>
    <col min="4348" max="4348" width="28.5703125" style="3" bestFit="1" customWidth="1"/>
    <col min="4349" max="4351" width="9.7109375" style="3" customWidth="1"/>
    <col min="4352" max="4352" width="14.28515625" style="3" customWidth="1"/>
    <col min="4353" max="4354" width="14.7109375" style="3" customWidth="1"/>
    <col min="4355" max="4355" width="9.28515625" style="3" bestFit="1" customWidth="1"/>
    <col min="4356" max="4356" width="9.42578125" style="3" bestFit="1" customWidth="1"/>
    <col min="4357" max="4603" width="9.140625" style="3"/>
    <col min="4604" max="4604" width="28.5703125" style="3" bestFit="1" customWidth="1"/>
    <col min="4605" max="4607" width="9.7109375" style="3" customWidth="1"/>
    <col min="4608" max="4608" width="14.28515625" style="3" customWidth="1"/>
    <col min="4609" max="4610" width="14.7109375" style="3" customWidth="1"/>
    <col min="4611" max="4611" width="9.28515625" style="3" bestFit="1" customWidth="1"/>
    <col min="4612" max="4612" width="9.42578125" style="3" bestFit="1" customWidth="1"/>
    <col min="4613" max="4859" width="9.140625" style="3"/>
    <col min="4860" max="4860" width="28.5703125" style="3" bestFit="1" customWidth="1"/>
    <col min="4861" max="4863" width="9.7109375" style="3" customWidth="1"/>
    <col min="4864" max="4864" width="14.28515625" style="3" customWidth="1"/>
    <col min="4865" max="4866" width="14.7109375" style="3" customWidth="1"/>
    <col min="4867" max="4867" width="9.28515625" style="3" bestFit="1" customWidth="1"/>
    <col min="4868" max="4868" width="9.42578125" style="3" bestFit="1" customWidth="1"/>
    <col min="4869" max="5115" width="9.140625" style="3"/>
    <col min="5116" max="5116" width="28.5703125" style="3" bestFit="1" customWidth="1"/>
    <col min="5117" max="5119" width="9.7109375" style="3" customWidth="1"/>
    <col min="5120" max="5120" width="14.28515625" style="3" customWidth="1"/>
    <col min="5121" max="5122" width="14.7109375" style="3" customWidth="1"/>
    <col min="5123" max="5123" width="9.28515625" style="3" bestFit="1" customWidth="1"/>
    <col min="5124" max="5124" width="9.42578125" style="3" bestFit="1" customWidth="1"/>
    <col min="5125" max="5371" width="9.140625" style="3"/>
    <col min="5372" max="5372" width="28.5703125" style="3" bestFit="1" customWidth="1"/>
    <col min="5373" max="5375" width="9.7109375" style="3" customWidth="1"/>
    <col min="5376" max="5376" width="14.28515625" style="3" customWidth="1"/>
    <col min="5377" max="5378" width="14.7109375" style="3" customWidth="1"/>
    <col min="5379" max="5379" width="9.28515625" style="3" bestFit="1" customWidth="1"/>
    <col min="5380" max="5380" width="9.42578125" style="3" bestFit="1" customWidth="1"/>
    <col min="5381" max="5627" width="9.140625" style="3"/>
    <col min="5628" max="5628" width="28.5703125" style="3" bestFit="1" customWidth="1"/>
    <col min="5629" max="5631" width="9.7109375" style="3" customWidth="1"/>
    <col min="5632" max="5632" width="14.28515625" style="3" customWidth="1"/>
    <col min="5633" max="5634" width="14.7109375" style="3" customWidth="1"/>
    <col min="5635" max="5635" width="9.28515625" style="3" bestFit="1" customWidth="1"/>
    <col min="5636" max="5636" width="9.42578125" style="3" bestFit="1" customWidth="1"/>
    <col min="5637" max="5883" width="9.140625" style="3"/>
    <col min="5884" max="5884" width="28.5703125" style="3" bestFit="1" customWidth="1"/>
    <col min="5885" max="5887" width="9.7109375" style="3" customWidth="1"/>
    <col min="5888" max="5888" width="14.28515625" style="3" customWidth="1"/>
    <col min="5889" max="5890" width="14.7109375" style="3" customWidth="1"/>
    <col min="5891" max="5891" width="9.28515625" style="3" bestFit="1" customWidth="1"/>
    <col min="5892" max="5892" width="9.42578125" style="3" bestFit="1" customWidth="1"/>
    <col min="5893" max="6139" width="9.140625" style="3"/>
    <col min="6140" max="6140" width="28.5703125" style="3" bestFit="1" customWidth="1"/>
    <col min="6141" max="6143" width="9.7109375" style="3" customWidth="1"/>
    <col min="6144" max="6144" width="14.28515625" style="3" customWidth="1"/>
    <col min="6145" max="6146" width="14.7109375" style="3" customWidth="1"/>
    <col min="6147" max="6147" width="9.28515625" style="3" bestFit="1" customWidth="1"/>
    <col min="6148" max="6148" width="9.42578125" style="3" bestFit="1" customWidth="1"/>
    <col min="6149" max="6395" width="9.140625" style="3"/>
    <col min="6396" max="6396" width="28.5703125" style="3" bestFit="1" customWidth="1"/>
    <col min="6397" max="6399" width="9.7109375" style="3" customWidth="1"/>
    <col min="6400" max="6400" width="14.28515625" style="3" customWidth="1"/>
    <col min="6401" max="6402" width="14.7109375" style="3" customWidth="1"/>
    <col min="6403" max="6403" width="9.28515625" style="3" bestFit="1" customWidth="1"/>
    <col min="6404" max="6404" width="9.42578125" style="3" bestFit="1" customWidth="1"/>
    <col min="6405" max="6651" width="9.140625" style="3"/>
    <col min="6652" max="6652" width="28.5703125" style="3" bestFit="1" customWidth="1"/>
    <col min="6653" max="6655" width="9.7109375" style="3" customWidth="1"/>
    <col min="6656" max="6656" width="14.28515625" style="3" customWidth="1"/>
    <col min="6657" max="6658" width="14.7109375" style="3" customWidth="1"/>
    <col min="6659" max="6659" width="9.28515625" style="3" bestFit="1" customWidth="1"/>
    <col min="6660" max="6660" width="9.42578125" style="3" bestFit="1" customWidth="1"/>
    <col min="6661" max="6907" width="9.140625" style="3"/>
    <col min="6908" max="6908" width="28.5703125" style="3" bestFit="1" customWidth="1"/>
    <col min="6909" max="6911" width="9.7109375" style="3" customWidth="1"/>
    <col min="6912" max="6912" width="14.28515625" style="3" customWidth="1"/>
    <col min="6913" max="6914" width="14.7109375" style="3" customWidth="1"/>
    <col min="6915" max="6915" width="9.28515625" style="3" bestFit="1" customWidth="1"/>
    <col min="6916" max="6916" width="9.42578125" style="3" bestFit="1" customWidth="1"/>
    <col min="6917" max="7163" width="9.140625" style="3"/>
    <col min="7164" max="7164" width="28.5703125" style="3" bestFit="1" customWidth="1"/>
    <col min="7165" max="7167" width="9.7109375" style="3" customWidth="1"/>
    <col min="7168" max="7168" width="14.28515625" style="3" customWidth="1"/>
    <col min="7169" max="7170" width="14.7109375" style="3" customWidth="1"/>
    <col min="7171" max="7171" width="9.28515625" style="3" bestFit="1" customWidth="1"/>
    <col min="7172" max="7172" width="9.42578125" style="3" bestFit="1" customWidth="1"/>
    <col min="7173" max="7419" width="9.140625" style="3"/>
    <col min="7420" max="7420" width="28.5703125" style="3" bestFit="1" customWidth="1"/>
    <col min="7421" max="7423" width="9.7109375" style="3" customWidth="1"/>
    <col min="7424" max="7424" width="14.28515625" style="3" customWidth="1"/>
    <col min="7425" max="7426" width="14.7109375" style="3" customWidth="1"/>
    <col min="7427" max="7427" width="9.28515625" style="3" bestFit="1" customWidth="1"/>
    <col min="7428" max="7428" width="9.42578125" style="3" bestFit="1" customWidth="1"/>
    <col min="7429" max="7675" width="9.140625" style="3"/>
    <col min="7676" max="7676" width="28.5703125" style="3" bestFit="1" customWidth="1"/>
    <col min="7677" max="7679" width="9.7109375" style="3" customWidth="1"/>
    <col min="7680" max="7680" width="14.28515625" style="3" customWidth="1"/>
    <col min="7681" max="7682" width="14.7109375" style="3" customWidth="1"/>
    <col min="7683" max="7683" width="9.28515625" style="3" bestFit="1" customWidth="1"/>
    <col min="7684" max="7684" width="9.42578125" style="3" bestFit="1" customWidth="1"/>
    <col min="7685" max="7931" width="9.140625" style="3"/>
    <col min="7932" max="7932" width="28.5703125" style="3" bestFit="1" customWidth="1"/>
    <col min="7933" max="7935" width="9.7109375" style="3" customWidth="1"/>
    <col min="7936" max="7936" width="14.28515625" style="3" customWidth="1"/>
    <col min="7937" max="7938" width="14.7109375" style="3" customWidth="1"/>
    <col min="7939" max="7939" width="9.28515625" style="3" bestFit="1" customWidth="1"/>
    <col min="7940" max="7940" width="9.42578125" style="3" bestFit="1" customWidth="1"/>
    <col min="7941" max="8187" width="9.140625" style="3"/>
    <col min="8188" max="8188" width="28.5703125" style="3" bestFit="1" customWidth="1"/>
    <col min="8189" max="8191" width="9.7109375" style="3" customWidth="1"/>
    <col min="8192" max="8192" width="14.28515625" style="3" customWidth="1"/>
    <col min="8193" max="8194" width="14.7109375" style="3" customWidth="1"/>
    <col min="8195" max="8195" width="9.28515625" style="3" bestFit="1" customWidth="1"/>
    <col min="8196" max="8196" width="9.42578125" style="3" bestFit="1" customWidth="1"/>
    <col min="8197" max="8443" width="9.140625" style="3"/>
    <col min="8444" max="8444" width="28.5703125" style="3" bestFit="1" customWidth="1"/>
    <col min="8445" max="8447" width="9.7109375" style="3" customWidth="1"/>
    <col min="8448" max="8448" width="14.28515625" style="3" customWidth="1"/>
    <col min="8449" max="8450" width="14.7109375" style="3" customWidth="1"/>
    <col min="8451" max="8451" width="9.28515625" style="3" bestFit="1" customWidth="1"/>
    <col min="8452" max="8452" width="9.42578125" style="3" bestFit="1" customWidth="1"/>
    <col min="8453" max="8699" width="9.140625" style="3"/>
    <col min="8700" max="8700" width="28.5703125" style="3" bestFit="1" customWidth="1"/>
    <col min="8701" max="8703" width="9.7109375" style="3" customWidth="1"/>
    <col min="8704" max="8704" width="14.28515625" style="3" customWidth="1"/>
    <col min="8705" max="8706" width="14.7109375" style="3" customWidth="1"/>
    <col min="8707" max="8707" width="9.28515625" style="3" bestFit="1" customWidth="1"/>
    <col min="8708" max="8708" width="9.42578125" style="3" bestFit="1" customWidth="1"/>
    <col min="8709" max="8955" width="9.140625" style="3"/>
    <col min="8956" max="8956" width="28.5703125" style="3" bestFit="1" customWidth="1"/>
    <col min="8957" max="8959" width="9.7109375" style="3" customWidth="1"/>
    <col min="8960" max="8960" width="14.28515625" style="3" customWidth="1"/>
    <col min="8961" max="8962" width="14.7109375" style="3" customWidth="1"/>
    <col min="8963" max="8963" width="9.28515625" style="3" bestFit="1" customWidth="1"/>
    <col min="8964" max="8964" width="9.42578125" style="3" bestFit="1" customWidth="1"/>
    <col min="8965" max="9211" width="9.140625" style="3"/>
    <col min="9212" max="9212" width="28.5703125" style="3" bestFit="1" customWidth="1"/>
    <col min="9213" max="9215" width="9.7109375" style="3" customWidth="1"/>
    <col min="9216" max="9216" width="14.28515625" style="3" customWidth="1"/>
    <col min="9217" max="9218" width="14.7109375" style="3" customWidth="1"/>
    <col min="9219" max="9219" width="9.28515625" style="3" bestFit="1" customWidth="1"/>
    <col min="9220" max="9220" width="9.42578125" style="3" bestFit="1" customWidth="1"/>
    <col min="9221" max="9467" width="9.140625" style="3"/>
    <col min="9468" max="9468" width="28.5703125" style="3" bestFit="1" customWidth="1"/>
    <col min="9469" max="9471" width="9.7109375" style="3" customWidth="1"/>
    <col min="9472" max="9472" width="14.28515625" style="3" customWidth="1"/>
    <col min="9473" max="9474" width="14.7109375" style="3" customWidth="1"/>
    <col min="9475" max="9475" width="9.28515625" style="3" bestFit="1" customWidth="1"/>
    <col min="9476" max="9476" width="9.42578125" style="3" bestFit="1" customWidth="1"/>
    <col min="9477" max="9723" width="9.140625" style="3"/>
    <col min="9724" max="9724" width="28.5703125" style="3" bestFit="1" customWidth="1"/>
    <col min="9725" max="9727" width="9.7109375" style="3" customWidth="1"/>
    <col min="9728" max="9728" width="14.28515625" style="3" customWidth="1"/>
    <col min="9729" max="9730" width="14.7109375" style="3" customWidth="1"/>
    <col min="9731" max="9731" width="9.28515625" style="3" bestFit="1" customWidth="1"/>
    <col min="9732" max="9732" width="9.42578125" style="3" bestFit="1" customWidth="1"/>
    <col min="9733" max="9979" width="9.140625" style="3"/>
    <col min="9980" max="9980" width="28.5703125" style="3" bestFit="1" customWidth="1"/>
    <col min="9981" max="9983" width="9.7109375" style="3" customWidth="1"/>
    <col min="9984" max="9984" width="14.28515625" style="3" customWidth="1"/>
    <col min="9985" max="9986" width="14.7109375" style="3" customWidth="1"/>
    <col min="9987" max="9987" width="9.28515625" style="3" bestFit="1" customWidth="1"/>
    <col min="9988" max="9988" width="9.42578125" style="3" bestFit="1" customWidth="1"/>
    <col min="9989" max="10235" width="9.140625" style="3"/>
    <col min="10236" max="10236" width="28.5703125" style="3" bestFit="1" customWidth="1"/>
    <col min="10237" max="10239" width="9.7109375" style="3" customWidth="1"/>
    <col min="10240" max="10240" width="14.28515625" style="3" customWidth="1"/>
    <col min="10241" max="10242" width="14.7109375" style="3" customWidth="1"/>
    <col min="10243" max="10243" width="9.28515625" style="3" bestFit="1" customWidth="1"/>
    <col min="10244" max="10244" width="9.42578125" style="3" bestFit="1" customWidth="1"/>
    <col min="10245" max="10491" width="9.140625" style="3"/>
    <col min="10492" max="10492" width="28.5703125" style="3" bestFit="1" customWidth="1"/>
    <col min="10493" max="10495" width="9.7109375" style="3" customWidth="1"/>
    <col min="10496" max="10496" width="14.28515625" style="3" customWidth="1"/>
    <col min="10497" max="10498" width="14.7109375" style="3" customWidth="1"/>
    <col min="10499" max="10499" width="9.28515625" style="3" bestFit="1" customWidth="1"/>
    <col min="10500" max="10500" width="9.42578125" style="3" bestFit="1" customWidth="1"/>
    <col min="10501" max="10747" width="9.140625" style="3"/>
    <col min="10748" max="10748" width="28.5703125" style="3" bestFit="1" customWidth="1"/>
    <col min="10749" max="10751" width="9.7109375" style="3" customWidth="1"/>
    <col min="10752" max="10752" width="14.28515625" style="3" customWidth="1"/>
    <col min="10753" max="10754" width="14.7109375" style="3" customWidth="1"/>
    <col min="10755" max="10755" width="9.28515625" style="3" bestFit="1" customWidth="1"/>
    <col min="10756" max="10756" width="9.42578125" style="3" bestFit="1" customWidth="1"/>
    <col min="10757" max="11003" width="9.140625" style="3"/>
    <col min="11004" max="11004" width="28.5703125" style="3" bestFit="1" customWidth="1"/>
    <col min="11005" max="11007" width="9.7109375" style="3" customWidth="1"/>
    <col min="11008" max="11008" width="14.28515625" style="3" customWidth="1"/>
    <col min="11009" max="11010" width="14.7109375" style="3" customWidth="1"/>
    <col min="11011" max="11011" width="9.28515625" style="3" bestFit="1" customWidth="1"/>
    <col min="11012" max="11012" width="9.42578125" style="3" bestFit="1" customWidth="1"/>
    <col min="11013" max="11259" width="9.140625" style="3"/>
    <col min="11260" max="11260" width="28.5703125" style="3" bestFit="1" customWidth="1"/>
    <col min="11261" max="11263" width="9.7109375" style="3" customWidth="1"/>
    <col min="11264" max="11264" width="14.28515625" style="3" customWidth="1"/>
    <col min="11265" max="11266" width="14.7109375" style="3" customWidth="1"/>
    <col min="11267" max="11267" width="9.28515625" style="3" bestFit="1" customWidth="1"/>
    <col min="11268" max="11268" width="9.42578125" style="3" bestFit="1" customWidth="1"/>
    <col min="11269" max="11515" width="9.140625" style="3"/>
    <col min="11516" max="11516" width="28.5703125" style="3" bestFit="1" customWidth="1"/>
    <col min="11517" max="11519" width="9.7109375" style="3" customWidth="1"/>
    <col min="11520" max="11520" width="14.28515625" style="3" customWidth="1"/>
    <col min="11521" max="11522" width="14.7109375" style="3" customWidth="1"/>
    <col min="11523" max="11523" width="9.28515625" style="3" bestFit="1" customWidth="1"/>
    <col min="11524" max="11524" width="9.42578125" style="3" bestFit="1" customWidth="1"/>
    <col min="11525" max="11771" width="9.140625" style="3"/>
    <col min="11772" max="11772" width="28.5703125" style="3" bestFit="1" customWidth="1"/>
    <col min="11773" max="11775" width="9.7109375" style="3" customWidth="1"/>
    <col min="11776" max="11776" width="14.28515625" style="3" customWidth="1"/>
    <col min="11777" max="11778" width="14.7109375" style="3" customWidth="1"/>
    <col min="11779" max="11779" width="9.28515625" style="3" bestFit="1" customWidth="1"/>
    <col min="11780" max="11780" width="9.42578125" style="3" bestFit="1" customWidth="1"/>
    <col min="11781" max="12027" width="9.140625" style="3"/>
    <col min="12028" max="12028" width="28.5703125" style="3" bestFit="1" customWidth="1"/>
    <col min="12029" max="12031" width="9.7109375" style="3" customWidth="1"/>
    <col min="12032" max="12032" width="14.28515625" style="3" customWidth="1"/>
    <col min="12033" max="12034" width="14.7109375" style="3" customWidth="1"/>
    <col min="12035" max="12035" width="9.28515625" style="3" bestFit="1" customWidth="1"/>
    <col min="12036" max="12036" width="9.42578125" style="3" bestFit="1" customWidth="1"/>
    <col min="12037" max="12283" width="9.140625" style="3"/>
    <col min="12284" max="12284" width="28.5703125" style="3" bestFit="1" customWidth="1"/>
    <col min="12285" max="12287" width="9.7109375" style="3" customWidth="1"/>
    <col min="12288" max="12288" width="14.28515625" style="3" customWidth="1"/>
    <col min="12289" max="12290" width="14.7109375" style="3" customWidth="1"/>
    <col min="12291" max="12291" width="9.28515625" style="3" bestFit="1" customWidth="1"/>
    <col min="12292" max="12292" width="9.42578125" style="3" bestFit="1" customWidth="1"/>
    <col min="12293" max="12539" width="9.140625" style="3"/>
    <col min="12540" max="12540" width="28.5703125" style="3" bestFit="1" customWidth="1"/>
    <col min="12541" max="12543" width="9.7109375" style="3" customWidth="1"/>
    <col min="12544" max="12544" width="14.28515625" style="3" customWidth="1"/>
    <col min="12545" max="12546" width="14.7109375" style="3" customWidth="1"/>
    <col min="12547" max="12547" width="9.28515625" style="3" bestFit="1" customWidth="1"/>
    <col min="12548" max="12548" width="9.42578125" style="3" bestFit="1" customWidth="1"/>
    <col min="12549" max="12795" width="9.140625" style="3"/>
    <col min="12796" max="12796" width="28.5703125" style="3" bestFit="1" customWidth="1"/>
    <col min="12797" max="12799" width="9.7109375" style="3" customWidth="1"/>
    <col min="12800" max="12800" width="14.28515625" style="3" customWidth="1"/>
    <col min="12801" max="12802" width="14.7109375" style="3" customWidth="1"/>
    <col min="12803" max="12803" width="9.28515625" style="3" bestFit="1" customWidth="1"/>
    <col min="12804" max="12804" width="9.42578125" style="3" bestFit="1" customWidth="1"/>
    <col min="12805" max="13051" width="9.140625" style="3"/>
    <col min="13052" max="13052" width="28.5703125" style="3" bestFit="1" customWidth="1"/>
    <col min="13053" max="13055" width="9.7109375" style="3" customWidth="1"/>
    <col min="13056" max="13056" width="14.28515625" style="3" customWidth="1"/>
    <col min="13057" max="13058" width="14.7109375" style="3" customWidth="1"/>
    <col min="13059" max="13059" width="9.28515625" style="3" bestFit="1" customWidth="1"/>
    <col min="13060" max="13060" width="9.42578125" style="3" bestFit="1" customWidth="1"/>
    <col min="13061" max="13307" width="9.140625" style="3"/>
    <col min="13308" max="13308" width="28.5703125" style="3" bestFit="1" customWidth="1"/>
    <col min="13309" max="13311" width="9.7109375" style="3" customWidth="1"/>
    <col min="13312" max="13312" width="14.28515625" style="3" customWidth="1"/>
    <col min="13313" max="13314" width="14.7109375" style="3" customWidth="1"/>
    <col min="13315" max="13315" width="9.28515625" style="3" bestFit="1" customWidth="1"/>
    <col min="13316" max="13316" width="9.42578125" style="3" bestFit="1" customWidth="1"/>
    <col min="13317" max="13563" width="9.140625" style="3"/>
    <col min="13564" max="13564" width="28.5703125" style="3" bestFit="1" customWidth="1"/>
    <col min="13565" max="13567" width="9.7109375" style="3" customWidth="1"/>
    <col min="13568" max="13568" width="14.28515625" style="3" customWidth="1"/>
    <col min="13569" max="13570" width="14.7109375" style="3" customWidth="1"/>
    <col min="13571" max="13571" width="9.28515625" style="3" bestFit="1" customWidth="1"/>
    <col min="13572" max="13572" width="9.42578125" style="3" bestFit="1" customWidth="1"/>
    <col min="13573" max="13819" width="9.140625" style="3"/>
    <col min="13820" max="13820" width="28.5703125" style="3" bestFit="1" customWidth="1"/>
    <col min="13821" max="13823" width="9.7109375" style="3" customWidth="1"/>
    <col min="13824" max="13824" width="14.28515625" style="3" customWidth="1"/>
    <col min="13825" max="13826" width="14.7109375" style="3" customWidth="1"/>
    <col min="13827" max="13827" width="9.28515625" style="3" bestFit="1" customWidth="1"/>
    <col min="13828" max="13828" width="9.42578125" style="3" bestFit="1" customWidth="1"/>
    <col min="13829" max="14075" width="9.140625" style="3"/>
    <col min="14076" max="14076" width="28.5703125" style="3" bestFit="1" customWidth="1"/>
    <col min="14077" max="14079" width="9.7109375" style="3" customWidth="1"/>
    <col min="14080" max="14080" width="14.28515625" style="3" customWidth="1"/>
    <col min="14081" max="14082" width="14.7109375" style="3" customWidth="1"/>
    <col min="14083" max="14083" width="9.28515625" style="3" bestFit="1" customWidth="1"/>
    <col min="14084" max="14084" width="9.42578125" style="3" bestFit="1" customWidth="1"/>
    <col min="14085" max="14331" width="9.140625" style="3"/>
    <col min="14332" max="14332" width="28.5703125" style="3" bestFit="1" customWidth="1"/>
    <col min="14333" max="14335" width="9.7109375" style="3" customWidth="1"/>
    <col min="14336" max="14336" width="14.28515625" style="3" customWidth="1"/>
    <col min="14337" max="14338" width="14.7109375" style="3" customWidth="1"/>
    <col min="14339" max="14339" width="9.28515625" style="3" bestFit="1" customWidth="1"/>
    <col min="14340" max="14340" width="9.42578125" style="3" bestFit="1" customWidth="1"/>
    <col min="14341" max="14587" width="9.140625" style="3"/>
    <col min="14588" max="14588" width="28.5703125" style="3" bestFit="1" customWidth="1"/>
    <col min="14589" max="14591" width="9.7109375" style="3" customWidth="1"/>
    <col min="14592" max="14592" width="14.28515625" style="3" customWidth="1"/>
    <col min="14593" max="14594" width="14.7109375" style="3" customWidth="1"/>
    <col min="14595" max="14595" width="9.28515625" style="3" bestFit="1" customWidth="1"/>
    <col min="14596" max="14596" width="9.42578125" style="3" bestFit="1" customWidth="1"/>
    <col min="14597" max="14843" width="9.140625" style="3"/>
    <col min="14844" max="14844" width="28.5703125" style="3" bestFit="1" customWidth="1"/>
    <col min="14845" max="14847" width="9.7109375" style="3" customWidth="1"/>
    <col min="14848" max="14848" width="14.28515625" style="3" customWidth="1"/>
    <col min="14849" max="14850" width="14.7109375" style="3" customWidth="1"/>
    <col min="14851" max="14851" width="9.28515625" style="3" bestFit="1" customWidth="1"/>
    <col min="14852" max="14852" width="9.42578125" style="3" bestFit="1" customWidth="1"/>
    <col min="14853" max="15099" width="9.140625" style="3"/>
    <col min="15100" max="15100" width="28.5703125" style="3" bestFit="1" customWidth="1"/>
    <col min="15101" max="15103" width="9.7109375" style="3" customWidth="1"/>
    <col min="15104" max="15104" width="14.28515625" style="3" customWidth="1"/>
    <col min="15105" max="15106" width="14.7109375" style="3" customWidth="1"/>
    <col min="15107" max="15107" width="9.28515625" style="3" bestFit="1" customWidth="1"/>
    <col min="15108" max="15108" width="9.42578125" style="3" bestFit="1" customWidth="1"/>
    <col min="15109" max="15355" width="9.140625" style="3"/>
    <col min="15356" max="15356" width="28.5703125" style="3" bestFit="1" customWidth="1"/>
    <col min="15357" max="15359" width="9.7109375" style="3" customWidth="1"/>
    <col min="15360" max="15360" width="14.28515625" style="3" customWidth="1"/>
    <col min="15361" max="15362" width="14.7109375" style="3" customWidth="1"/>
    <col min="15363" max="15363" width="9.28515625" style="3" bestFit="1" customWidth="1"/>
    <col min="15364" max="15364" width="9.42578125" style="3" bestFit="1" customWidth="1"/>
    <col min="15365" max="15611" width="9.140625" style="3"/>
    <col min="15612" max="15612" width="28.5703125" style="3" bestFit="1" customWidth="1"/>
    <col min="15613" max="15615" width="9.7109375" style="3" customWidth="1"/>
    <col min="15616" max="15616" width="14.28515625" style="3" customWidth="1"/>
    <col min="15617" max="15618" width="14.7109375" style="3" customWidth="1"/>
    <col min="15619" max="15619" width="9.28515625" style="3" bestFit="1" customWidth="1"/>
    <col min="15620" max="15620" width="9.42578125" style="3" bestFit="1" customWidth="1"/>
    <col min="15621" max="15867" width="9.140625" style="3"/>
    <col min="15868" max="15868" width="28.5703125" style="3" bestFit="1" customWidth="1"/>
    <col min="15869" max="15871" width="9.7109375" style="3" customWidth="1"/>
    <col min="15872" max="15872" width="14.28515625" style="3" customWidth="1"/>
    <col min="15873" max="15874" width="14.7109375" style="3" customWidth="1"/>
    <col min="15875" max="15875" width="9.28515625" style="3" bestFit="1" customWidth="1"/>
    <col min="15876" max="15876" width="9.42578125" style="3" bestFit="1" customWidth="1"/>
    <col min="15877" max="16123" width="9.140625" style="3"/>
    <col min="16124" max="16124" width="28.5703125" style="3" bestFit="1" customWidth="1"/>
    <col min="16125" max="16127" width="9.7109375" style="3" customWidth="1"/>
    <col min="16128" max="16128" width="14.28515625" style="3" customWidth="1"/>
    <col min="16129" max="16130" width="14.7109375" style="3" customWidth="1"/>
    <col min="16131" max="16131" width="9.28515625" style="3" bestFit="1" customWidth="1"/>
    <col min="16132" max="16132" width="9.42578125" style="3" bestFit="1" customWidth="1"/>
    <col min="16133" max="16384" width="9.140625" style="3"/>
  </cols>
  <sheetData>
    <row r="1" spans="1:8" ht="13.5" thickBot="1">
      <c r="B1" s="2" t="s">
        <v>223</v>
      </c>
      <c r="F1" s="1" t="s">
        <v>530</v>
      </c>
      <c r="G1" s="4">
        <v>0</v>
      </c>
    </row>
    <row r="2" spans="1:8" ht="15" customHeight="1" thickBot="1">
      <c r="C2" s="5"/>
      <c r="D2" s="5"/>
      <c r="E2" s="5"/>
      <c r="F2" s="516" t="s">
        <v>531</v>
      </c>
      <c r="G2" s="516"/>
      <c r="H2" s="6"/>
    </row>
    <row r="3" spans="1:8" ht="39" thickBot="1">
      <c r="A3" s="372" t="s">
        <v>716</v>
      </c>
      <c r="B3" s="7" t="s">
        <v>464</v>
      </c>
      <c r="C3" s="8" t="s">
        <v>4</v>
      </c>
      <c r="D3" s="8" t="s">
        <v>465</v>
      </c>
      <c r="E3" s="8" t="s">
        <v>466</v>
      </c>
      <c r="F3" s="9" t="s">
        <v>467</v>
      </c>
      <c r="G3" s="10" t="s">
        <v>468</v>
      </c>
    </row>
    <row r="4" spans="1:8" ht="13.5" thickTop="1">
      <c r="A4" s="11">
        <v>1</v>
      </c>
      <c r="B4" s="12" t="s">
        <v>469</v>
      </c>
      <c r="C4" s="13"/>
      <c r="D4" s="14"/>
      <c r="E4" s="15"/>
      <c r="F4" s="14"/>
      <c r="G4" s="16"/>
    </row>
    <row r="5" spans="1:8">
      <c r="A5" s="17"/>
      <c r="B5" s="18" t="s">
        <v>16</v>
      </c>
      <c r="C5" s="19" t="s">
        <v>18</v>
      </c>
      <c r="D5" s="21">
        <v>400</v>
      </c>
      <c r="E5" s="21">
        <v>9.7000000000000003E-2</v>
      </c>
      <c r="F5" s="22">
        <f>+D5*E5</f>
        <v>38.800000000000004</v>
      </c>
      <c r="G5" s="23">
        <f>+F5*$G$1</f>
        <v>0</v>
      </c>
    </row>
    <row r="6" spans="1:8" ht="12.75" customHeight="1">
      <c r="A6" s="17">
        <v>2</v>
      </c>
      <c r="B6" s="24" t="s">
        <v>470</v>
      </c>
      <c r="C6" s="25"/>
      <c r="D6" s="21"/>
      <c r="E6" s="20"/>
      <c r="F6" s="22"/>
      <c r="G6" s="23"/>
    </row>
    <row r="7" spans="1:8" ht="12.75" customHeight="1">
      <c r="A7" s="17"/>
      <c r="B7" s="18" t="s">
        <v>471</v>
      </c>
      <c r="C7" s="19" t="s">
        <v>70</v>
      </c>
      <c r="D7" s="21">
        <v>10</v>
      </c>
      <c r="E7" s="93">
        <v>0.35</v>
      </c>
      <c r="F7" s="22">
        <f>+D7*E7</f>
        <v>3.5</v>
      </c>
      <c r="G7" s="23">
        <f t="shared" ref="G7:G23" si="0">+F7*$G$1</f>
        <v>0</v>
      </c>
    </row>
    <row r="8" spans="1:8" ht="12.75" customHeight="1">
      <c r="A8" s="17"/>
      <c r="B8" s="18" t="s">
        <v>472</v>
      </c>
      <c r="C8" s="19" t="s">
        <v>21</v>
      </c>
      <c r="D8" s="21">
        <v>4</v>
      </c>
      <c r="E8" s="21">
        <v>2.1800000000000002</v>
      </c>
      <c r="F8" s="22">
        <f>+D8*E8</f>
        <v>8.7200000000000006</v>
      </c>
      <c r="G8" s="23">
        <f t="shared" si="0"/>
        <v>0</v>
      </c>
    </row>
    <row r="9" spans="1:8" ht="12.75" customHeight="1">
      <c r="A9" s="17"/>
      <c r="B9" s="26" t="s">
        <v>473</v>
      </c>
      <c r="C9" s="19" t="s">
        <v>146</v>
      </c>
      <c r="D9" s="21">
        <v>20</v>
      </c>
      <c r="E9" s="27">
        <v>1.98</v>
      </c>
      <c r="F9" s="22">
        <f>+D9*E9</f>
        <v>39.6</v>
      </c>
      <c r="G9" s="23">
        <f t="shared" si="0"/>
        <v>0</v>
      </c>
    </row>
    <row r="10" spans="1:8" ht="12" customHeight="1">
      <c r="A10" s="17"/>
      <c r="B10" s="26" t="s">
        <v>474</v>
      </c>
      <c r="C10" s="19" t="s">
        <v>146</v>
      </c>
      <c r="D10" s="21">
        <v>0.1</v>
      </c>
      <c r="E10" s="21">
        <v>2.83</v>
      </c>
      <c r="F10" s="22">
        <f>+D10*E10</f>
        <v>0.28300000000000003</v>
      </c>
      <c r="G10" s="23">
        <f t="shared" si="0"/>
        <v>0</v>
      </c>
    </row>
    <row r="11" spans="1:8" ht="12.75" customHeight="1">
      <c r="A11" s="17"/>
      <c r="B11" s="26" t="s">
        <v>475</v>
      </c>
      <c r="C11" s="19" t="s">
        <v>146</v>
      </c>
      <c r="D11" s="21">
        <v>10</v>
      </c>
      <c r="E11" s="27">
        <v>0.73</v>
      </c>
      <c r="F11" s="22">
        <f>+D11*E11</f>
        <v>7.3</v>
      </c>
      <c r="G11" s="23">
        <f t="shared" si="0"/>
        <v>0</v>
      </c>
    </row>
    <row r="12" spans="1:8" ht="12.75" customHeight="1">
      <c r="A12" s="17">
        <v>3</v>
      </c>
      <c r="B12" s="24" t="s">
        <v>476</v>
      </c>
      <c r="C12" s="19" t="s">
        <v>353</v>
      </c>
      <c r="D12" s="21"/>
      <c r="E12" s="20"/>
      <c r="F12" s="22"/>
      <c r="G12" s="23"/>
    </row>
    <row r="13" spans="1:8" ht="12.75" customHeight="1">
      <c r="A13" s="17"/>
      <c r="B13" s="26" t="s">
        <v>477</v>
      </c>
      <c r="C13" s="19"/>
      <c r="D13" s="20">
        <v>8.0000000000000002E-3</v>
      </c>
      <c r="E13" s="28">
        <v>111.02</v>
      </c>
      <c r="F13" s="22">
        <f t="shared" ref="F13:F22" si="1">+D13*E13</f>
        <v>0.88815999999999995</v>
      </c>
      <c r="G13" s="23">
        <f t="shared" si="0"/>
        <v>0</v>
      </c>
    </row>
    <row r="14" spans="1:8" ht="12.75" customHeight="1">
      <c r="A14" s="17"/>
      <c r="B14" s="26" t="s">
        <v>439</v>
      </c>
      <c r="C14" s="19"/>
      <c r="D14" s="20">
        <v>0.06</v>
      </c>
      <c r="E14" s="28">
        <v>11.24</v>
      </c>
      <c r="F14" s="22">
        <f t="shared" si="1"/>
        <v>0.6744</v>
      </c>
      <c r="G14" s="23">
        <f t="shared" si="0"/>
        <v>0</v>
      </c>
    </row>
    <row r="15" spans="1:8" ht="12.75" customHeight="1">
      <c r="A15" s="17"/>
      <c r="B15" s="26" t="s">
        <v>693</v>
      </c>
      <c r="C15" s="19"/>
      <c r="D15" s="20">
        <v>0.06</v>
      </c>
      <c r="E15" s="27">
        <v>43.6</v>
      </c>
      <c r="F15" s="22">
        <f t="shared" si="1"/>
        <v>2.6160000000000001</v>
      </c>
      <c r="G15" s="23">
        <f t="shared" si="0"/>
        <v>0</v>
      </c>
    </row>
    <row r="16" spans="1:8" ht="12.75" customHeight="1">
      <c r="A16" s="17"/>
      <c r="B16" s="26" t="s">
        <v>208</v>
      </c>
      <c r="C16" s="19"/>
      <c r="D16" s="20">
        <v>0.06</v>
      </c>
      <c r="E16" s="28">
        <v>22.64</v>
      </c>
      <c r="F16" s="22">
        <f t="shared" si="1"/>
        <v>1.3584000000000001</v>
      </c>
      <c r="G16" s="23">
        <f t="shared" si="0"/>
        <v>0</v>
      </c>
    </row>
    <row r="17" spans="1:9" ht="12.75" customHeight="1">
      <c r="A17" s="17"/>
      <c r="B17" s="26" t="s">
        <v>478</v>
      </c>
      <c r="C17" s="19"/>
      <c r="D17" s="20">
        <v>1</v>
      </c>
      <c r="E17" s="27">
        <v>2.83</v>
      </c>
      <c r="F17" s="22">
        <f t="shared" si="1"/>
        <v>2.83</v>
      </c>
      <c r="G17" s="23">
        <f t="shared" si="0"/>
        <v>0</v>
      </c>
    </row>
    <row r="18" spans="1:9" ht="12.75" customHeight="1">
      <c r="A18" s="17">
        <v>4</v>
      </c>
      <c r="B18" s="29" t="s">
        <v>632</v>
      </c>
      <c r="C18" s="19"/>
      <c r="D18" s="20">
        <v>10</v>
      </c>
      <c r="E18" s="345">
        <v>2.41</v>
      </c>
      <c r="F18" s="22">
        <f t="shared" si="1"/>
        <v>24.1</v>
      </c>
      <c r="G18" s="23">
        <f t="shared" si="0"/>
        <v>0</v>
      </c>
    </row>
    <row r="19" spans="1:9" ht="12.75" customHeight="1" thickBot="1">
      <c r="A19" s="17">
        <v>5</v>
      </c>
      <c r="B19" s="24" t="s">
        <v>134</v>
      </c>
      <c r="C19" s="19" t="s">
        <v>353</v>
      </c>
      <c r="D19" s="20">
        <v>20</v>
      </c>
      <c r="E19" s="28">
        <v>1.17</v>
      </c>
      <c r="F19" s="22">
        <f t="shared" si="1"/>
        <v>23.4</v>
      </c>
      <c r="G19" s="23">
        <f t="shared" si="0"/>
        <v>0</v>
      </c>
    </row>
    <row r="20" spans="1:9" ht="12.75" customHeight="1">
      <c r="A20" s="17">
        <v>6</v>
      </c>
      <c r="B20" s="24" t="s">
        <v>479</v>
      </c>
      <c r="C20" s="25"/>
      <c r="D20" s="20"/>
      <c r="E20" s="20"/>
      <c r="F20" s="22"/>
      <c r="G20" s="23"/>
      <c r="H20" s="505" t="s">
        <v>481</v>
      </c>
      <c r="I20" s="506"/>
    </row>
    <row r="21" spans="1:9" ht="12.75" customHeight="1">
      <c r="A21" s="17"/>
      <c r="B21" s="18" t="s">
        <v>480</v>
      </c>
      <c r="C21" s="19" t="s">
        <v>353</v>
      </c>
      <c r="D21" s="20">
        <v>3</v>
      </c>
      <c r="E21" s="28">
        <v>1.17</v>
      </c>
      <c r="F21" s="22">
        <f t="shared" si="1"/>
        <v>3.51</v>
      </c>
      <c r="G21" s="23">
        <f t="shared" si="0"/>
        <v>0</v>
      </c>
      <c r="H21" s="507"/>
      <c r="I21" s="508"/>
    </row>
    <row r="22" spans="1:9" ht="12.75" customHeight="1" thickBot="1">
      <c r="A22" s="17"/>
      <c r="B22" s="18" t="s">
        <v>482</v>
      </c>
      <c r="C22" s="19" t="s">
        <v>353</v>
      </c>
      <c r="D22" s="20">
        <v>4</v>
      </c>
      <c r="E22" s="28">
        <v>1.17</v>
      </c>
      <c r="F22" s="22">
        <f t="shared" si="1"/>
        <v>4.68</v>
      </c>
      <c r="G22" s="23">
        <f t="shared" si="0"/>
        <v>0</v>
      </c>
      <c r="H22" s="509">
        <v>400</v>
      </c>
      <c r="I22" s="510"/>
    </row>
    <row r="23" spans="1:9" ht="12.75" customHeight="1" thickBot="1">
      <c r="A23" s="30"/>
      <c r="B23" s="31" t="s">
        <v>483</v>
      </c>
      <c r="C23" s="32" t="s">
        <v>201</v>
      </c>
      <c r="D23" s="32"/>
      <c r="E23" s="32"/>
      <c r="F23" s="33">
        <v>0</v>
      </c>
      <c r="G23" s="34">
        <f t="shared" si="0"/>
        <v>0</v>
      </c>
      <c r="H23" s="501" t="s">
        <v>484</v>
      </c>
      <c r="I23" s="502"/>
    </row>
    <row r="24" spans="1:9" ht="15" customHeight="1" thickBot="1">
      <c r="A24" s="514" t="s">
        <v>30</v>
      </c>
      <c r="B24" s="515"/>
      <c r="C24" s="515"/>
      <c r="D24" s="515"/>
      <c r="E24" s="515"/>
      <c r="F24" s="35">
        <f>SUM(F5:F23)</f>
        <v>162.25996000000001</v>
      </c>
      <c r="G24" s="36">
        <f>SUM(G5:G23)</f>
        <v>0</v>
      </c>
      <c r="H24" s="503">
        <f>+F24/H22</f>
        <v>0.40564990000000001</v>
      </c>
      <c r="I24" s="504"/>
    </row>
    <row r="25" spans="1:9" ht="13.5" thickBot="1"/>
    <row r="26" spans="1:9" ht="13.5" thickBot="1">
      <c r="B26" s="2" t="s">
        <v>526</v>
      </c>
      <c r="F26" s="1" t="s">
        <v>530</v>
      </c>
      <c r="G26" s="4">
        <v>0</v>
      </c>
    </row>
    <row r="27" spans="1:9" ht="15" customHeight="1" thickBot="1">
      <c r="C27" s="5"/>
      <c r="D27" s="5"/>
      <c r="E27" s="5"/>
      <c r="F27" s="516" t="s">
        <v>531</v>
      </c>
      <c r="G27" s="516"/>
      <c r="H27" s="37"/>
      <c r="I27" s="38"/>
    </row>
    <row r="28" spans="1:9" ht="39" thickBot="1">
      <c r="A28" s="372" t="s">
        <v>716</v>
      </c>
      <c r="B28" s="7" t="s">
        <v>464</v>
      </c>
      <c r="C28" s="8" t="s">
        <v>4</v>
      </c>
      <c r="D28" s="8" t="s">
        <v>465</v>
      </c>
      <c r="E28" s="8" t="s">
        <v>466</v>
      </c>
      <c r="F28" s="9" t="s">
        <v>467</v>
      </c>
      <c r="G28" s="10" t="s">
        <v>468</v>
      </c>
    </row>
    <row r="29" spans="1:9" ht="13.5" thickTop="1">
      <c r="A29" s="11">
        <v>1</v>
      </c>
      <c r="B29" s="12" t="s">
        <v>469</v>
      </c>
      <c r="C29" s="13"/>
      <c r="D29" s="14"/>
      <c r="E29" s="14"/>
      <c r="F29" s="14"/>
      <c r="G29" s="16"/>
    </row>
    <row r="30" spans="1:9">
      <c r="A30" s="17"/>
      <c r="B30" s="18" t="s">
        <v>16</v>
      </c>
      <c r="C30" s="19" t="s">
        <v>18</v>
      </c>
      <c r="D30" s="20">
        <v>640</v>
      </c>
      <c r="E30" s="21">
        <v>7.8E-2</v>
      </c>
      <c r="F30" s="22">
        <f>+D30*E30</f>
        <v>49.92</v>
      </c>
      <c r="G30" s="23">
        <f>+F30*$G$26</f>
        <v>0</v>
      </c>
    </row>
    <row r="31" spans="1:9">
      <c r="A31" s="17">
        <v>2</v>
      </c>
      <c r="B31" s="24" t="s">
        <v>470</v>
      </c>
      <c r="C31" s="25"/>
      <c r="D31" s="20"/>
      <c r="E31" s="20"/>
      <c r="F31" s="22"/>
      <c r="G31" s="23"/>
    </row>
    <row r="32" spans="1:9">
      <c r="A32" s="17"/>
      <c r="B32" s="18" t="s">
        <v>471</v>
      </c>
      <c r="C32" s="19" t="s">
        <v>70</v>
      </c>
      <c r="D32" s="20">
        <v>10</v>
      </c>
      <c r="E32" s="93">
        <v>0.35</v>
      </c>
      <c r="F32" s="22">
        <f>+D32*E32</f>
        <v>3.5</v>
      </c>
      <c r="G32" s="23">
        <f t="shared" ref="G32:G50" si="2">+F32*$G$26</f>
        <v>0</v>
      </c>
    </row>
    <row r="33" spans="1:9">
      <c r="A33" s="17"/>
      <c r="B33" s="18" t="s">
        <v>472</v>
      </c>
      <c r="C33" s="19" t="s">
        <v>21</v>
      </c>
      <c r="D33" s="20">
        <v>4</v>
      </c>
      <c r="E33" s="21">
        <v>2.1800000000000002</v>
      </c>
      <c r="F33" s="22">
        <f>+D33*E33</f>
        <v>8.7200000000000006</v>
      </c>
      <c r="G33" s="23">
        <f t="shared" si="2"/>
        <v>0</v>
      </c>
    </row>
    <row r="34" spans="1:9">
      <c r="A34" s="17"/>
      <c r="B34" s="26" t="s">
        <v>473</v>
      </c>
      <c r="C34" s="19" t="s">
        <v>146</v>
      </c>
      <c r="D34" s="20">
        <v>20</v>
      </c>
      <c r="E34" s="27">
        <v>1.98</v>
      </c>
      <c r="F34" s="22">
        <f>+D34*E34</f>
        <v>39.6</v>
      </c>
      <c r="G34" s="23">
        <f t="shared" si="2"/>
        <v>0</v>
      </c>
    </row>
    <row r="35" spans="1:9">
      <c r="A35" s="17"/>
      <c r="B35" s="26" t="s">
        <v>474</v>
      </c>
      <c r="C35" s="19" t="s">
        <v>146</v>
      </c>
      <c r="D35" s="20">
        <v>0.1</v>
      </c>
      <c r="E35" s="21">
        <v>2.83</v>
      </c>
      <c r="F35" s="22">
        <f>+D35*E35</f>
        <v>0.28300000000000003</v>
      </c>
      <c r="G35" s="23">
        <f t="shared" si="2"/>
        <v>0</v>
      </c>
    </row>
    <row r="36" spans="1:9" ht="12.75" customHeight="1">
      <c r="A36" s="17"/>
      <c r="B36" s="26" t="s">
        <v>475</v>
      </c>
      <c r="C36" s="19" t="s">
        <v>146</v>
      </c>
      <c r="D36" s="20">
        <v>10</v>
      </c>
      <c r="E36" s="27">
        <v>0.73</v>
      </c>
      <c r="F36" s="22">
        <f>+D36*E36</f>
        <v>7.3</v>
      </c>
      <c r="G36" s="23">
        <f t="shared" si="2"/>
        <v>0</v>
      </c>
    </row>
    <row r="37" spans="1:9">
      <c r="A37" s="17">
        <v>3</v>
      </c>
      <c r="B37" s="24" t="s">
        <v>476</v>
      </c>
      <c r="C37" s="19" t="s">
        <v>353</v>
      </c>
      <c r="D37" s="20"/>
      <c r="E37" s="20"/>
      <c r="F37" s="22"/>
      <c r="G37" s="23"/>
    </row>
    <row r="38" spans="1:9">
      <c r="A38" s="17"/>
      <c r="B38" s="26" t="s">
        <v>209</v>
      </c>
      <c r="C38" s="19"/>
      <c r="D38" s="20">
        <v>4.0000000000000001E-3</v>
      </c>
      <c r="E38" s="28">
        <v>111.02</v>
      </c>
      <c r="F38" s="22">
        <f t="shared" ref="F38:F50" si="3">+D38*E38</f>
        <v>0.44407999999999997</v>
      </c>
      <c r="G38" s="23">
        <f t="shared" si="2"/>
        <v>0</v>
      </c>
    </row>
    <row r="39" spans="1:9">
      <c r="A39" s="17"/>
      <c r="B39" s="26" t="s">
        <v>486</v>
      </c>
      <c r="C39" s="19"/>
      <c r="D39" s="20">
        <v>0.05</v>
      </c>
      <c r="E39" s="28">
        <v>10.01</v>
      </c>
      <c r="F39" s="22">
        <f t="shared" si="3"/>
        <v>0.50050000000000006</v>
      </c>
      <c r="G39" s="23">
        <f t="shared" si="2"/>
        <v>0</v>
      </c>
    </row>
    <row r="40" spans="1:9">
      <c r="A40" s="17"/>
      <c r="B40" s="26" t="s">
        <v>487</v>
      </c>
      <c r="C40" s="19"/>
      <c r="D40" s="20">
        <v>6.0000000000000001E-3</v>
      </c>
      <c r="E40" s="28">
        <v>292.69</v>
      </c>
      <c r="F40" s="22">
        <f t="shared" si="3"/>
        <v>1.75614</v>
      </c>
      <c r="G40" s="23">
        <f t="shared" si="2"/>
        <v>0</v>
      </c>
    </row>
    <row r="41" spans="1:9">
      <c r="A41" s="17"/>
      <c r="B41" s="26" t="s">
        <v>210</v>
      </c>
      <c r="C41" s="19"/>
      <c r="D41" s="20">
        <v>2.5000000000000001E-2</v>
      </c>
      <c r="E41" s="28">
        <v>6.46</v>
      </c>
      <c r="F41" s="22">
        <f t="shared" si="3"/>
        <v>0.1615</v>
      </c>
      <c r="G41" s="23">
        <f t="shared" si="2"/>
        <v>0</v>
      </c>
    </row>
    <row r="42" spans="1:9">
      <c r="A42" s="17"/>
      <c r="B42" s="26" t="s">
        <v>355</v>
      </c>
      <c r="C42" s="19"/>
      <c r="D42" s="20">
        <v>1.5E-3</v>
      </c>
      <c r="E42" s="28">
        <v>52.89</v>
      </c>
      <c r="F42" s="22">
        <f t="shared" si="3"/>
        <v>7.9335000000000003E-2</v>
      </c>
      <c r="G42" s="23">
        <f t="shared" si="2"/>
        <v>0</v>
      </c>
    </row>
    <row r="43" spans="1:9">
      <c r="A43" s="17"/>
      <c r="B43" s="26" t="s">
        <v>488</v>
      </c>
      <c r="C43" s="19"/>
      <c r="D43" s="20">
        <v>3.2000000000000002E-3</v>
      </c>
      <c r="E43" s="28">
        <v>76.709999999999994</v>
      </c>
      <c r="F43" s="22">
        <f t="shared" si="3"/>
        <v>0.245472</v>
      </c>
      <c r="G43" s="23">
        <f t="shared" si="2"/>
        <v>0</v>
      </c>
    </row>
    <row r="44" spans="1:9">
      <c r="A44" s="17"/>
      <c r="B44" s="26" t="s">
        <v>489</v>
      </c>
      <c r="C44" s="19"/>
      <c r="D44" s="20">
        <v>0.02</v>
      </c>
      <c r="E44" s="28">
        <v>234.15</v>
      </c>
      <c r="F44" s="22">
        <f t="shared" si="3"/>
        <v>4.6829999999999998</v>
      </c>
      <c r="G44" s="23">
        <f t="shared" si="2"/>
        <v>0</v>
      </c>
    </row>
    <row r="45" spans="1:9">
      <c r="A45" s="17"/>
      <c r="B45" s="26" t="s">
        <v>478</v>
      </c>
      <c r="C45" s="19"/>
      <c r="D45" s="20">
        <v>1</v>
      </c>
      <c r="E45" s="27">
        <v>2.83</v>
      </c>
      <c r="F45" s="22">
        <f t="shared" si="3"/>
        <v>2.83</v>
      </c>
      <c r="G45" s="23">
        <f t="shared" si="2"/>
        <v>0</v>
      </c>
    </row>
    <row r="46" spans="1:9" ht="13.5" thickBot="1">
      <c r="A46" s="17">
        <v>4</v>
      </c>
      <c r="B46" s="24" t="s">
        <v>134</v>
      </c>
      <c r="C46" s="19" t="s">
        <v>353</v>
      </c>
      <c r="D46" s="20">
        <v>20</v>
      </c>
      <c r="E46" s="28">
        <v>1.17</v>
      </c>
      <c r="F46" s="22">
        <f t="shared" si="3"/>
        <v>23.4</v>
      </c>
      <c r="G46" s="23">
        <f t="shared" si="2"/>
        <v>0</v>
      </c>
    </row>
    <row r="47" spans="1:9" ht="12.75" customHeight="1">
      <c r="A47" s="17">
        <v>5</v>
      </c>
      <c r="B47" s="24" t="s">
        <v>479</v>
      </c>
      <c r="C47" s="25"/>
      <c r="D47" s="20"/>
      <c r="E47" s="20"/>
      <c r="F47" s="22"/>
      <c r="G47" s="23"/>
      <c r="H47" s="505" t="s">
        <v>481</v>
      </c>
      <c r="I47" s="506"/>
    </row>
    <row r="48" spans="1:9" ht="12.75" customHeight="1">
      <c r="A48" s="17"/>
      <c r="B48" s="18" t="s">
        <v>480</v>
      </c>
      <c r="C48" s="19" t="s">
        <v>353</v>
      </c>
      <c r="D48" s="20">
        <v>3</v>
      </c>
      <c r="E48" s="28">
        <v>1.17</v>
      </c>
      <c r="F48" s="22">
        <f t="shared" si="3"/>
        <v>3.51</v>
      </c>
      <c r="G48" s="23">
        <f t="shared" si="2"/>
        <v>0</v>
      </c>
      <c r="H48" s="507"/>
      <c r="I48" s="508"/>
    </row>
    <row r="49" spans="1:9" ht="13.5" thickBot="1">
      <c r="A49" s="17"/>
      <c r="B49" s="18" t="s">
        <v>490</v>
      </c>
      <c r="C49" s="19" t="s">
        <v>353</v>
      </c>
      <c r="D49" s="20">
        <v>3</v>
      </c>
      <c r="E49" s="28">
        <v>1.17</v>
      </c>
      <c r="F49" s="22">
        <f t="shared" si="3"/>
        <v>3.51</v>
      </c>
      <c r="G49" s="23">
        <f t="shared" si="2"/>
        <v>0</v>
      </c>
      <c r="H49" s="509">
        <v>640</v>
      </c>
      <c r="I49" s="510"/>
    </row>
    <row r="50" spans="1:9" ht="13.5" thickBot="1">
      <c r="A50" s="30"/>
      <c r="B50" s="31" t="s">
        <v>483</v>
      </c>
      <c r="C50" s="32" t="s">
        <v>201</v>
      </c>
      <c r="D50" s="39"/>
      <c r="E50" s="39"/>
      <c r="F50" s="33">
        <f t="shared" si="3"/>
        <v>0</v>
      </c>
      <c r="G50" s="34">
        <f t="shared" si="2"/>
        <v>0</v>
      </c>
      <c r="H50" s="501" t="s">
        <v>484</v>
      </c>
      <c r="I50" s="502"/>
    </row>
    <row r="51" spans="1:9" ht="15.75" customHeight="1" thickBot="1">
      <c r="A51" s="514" t="s">
        <v>30</v>
      </c>
      <c r="B51" s="515"/>
      <c r="C51" s="515"/>
      <c r="D51" s="515"/>
      <c r="E51" s="515"/>
      <c r="F51" s="35">
        <f>SUM(F29:F50)</f>
        <v>150.443027</v>
      </c>
      <c r="G51" s="36">
        <f>SUM(G30:G50)</f>
        <v>0</v>
      </c>
      <c r="H51" s="503">
        <f>+F51/H49</f>
        <v>0.23506722968749999</v>
      </c>
      <c r="I51" s="504"/>
    </row>
    <row r="52" spans="1:9" ht="13.5" thickBot="1"/>
    <row r="53" spans="1:9" ht="13.5" thickBot="1">
      <c r="B53" s="2" t="s">
        <v>527</v>
      </c>
      <c r="F53" s="1" t="s">
        <v>530</v>
      </c>
      <c r="G53" s="4">
        <v>0</v>
      </c>
    </row>
    <row r="54" spans="1:9" ht="16.5" customHeight="1" thickBot="1">
      <c r="C54" s="5"/>
      <c r="D54" s="5"/>
      <c r="E54" s="5"/>
      <c r="F54" s="516" t="s">
        <v>531</v>
      </c>
      <c r="G54" s="516"/>
      <c r="H54" s="6"/>
      <c r="I54" s="40"/>
    </row>
    <row r="55" spans="1:9" ht="39" thickBot="1">
      <c r="A55" s="372" t="s">
        <v>716</v>
      </c>
      <c r="B55" s="7" t="s">
        <v>464</v>
      </c>
      <c r="C55" s="8" t="s">
        <v>4</v>
      </c>
      <c r="D55" s="8" t="s">
        <v>465</v>
      </c>
      <c r="E55" s="8" t="s">
        <v>466</v>
      </c>
      <c r="F55" s="9" t="s">
        <v>467</v>
      </c>
      <c r="G55" s="10" t="s">
        <v>468</v>
      </c>
    </row>
    <row r="56" spans="1:9" ht="13.5" thickTop="1">
      <c r="A56" s="11">
        <v>1</v>
      </c>
      <c r="B56" s="12" t="s">
        <v>469</v>
      </c>
      <c r="C56" s="13"/>
      <c r="D56" s="14"/>
      <c r="E56" s="14"/>
      <c r="F56" s="14"/>
      <c r="G56" s="16"/>
    </row>
    <row r="57" spans="1:9">
      <c r="A57" s="17"/>
      <c r="B57" s="18" t="s">
        <v>16</v>
      </c>
      <c r="C57" s="19" t="s">
        <v>18</v>
      </c>
      <c r="D57" s="20">
        <v>600</v>
      </c>
      <c r="E57" s="21">
        <v>7.8E-2</v>
      </c>
      <c r="F57" s="22">
        <f>+D57*E57</f>
        <v>46.8</v>
      </c>
      <c r="G57" s="23">
        <f>+F57*$G$53</f>
        <v>0</v>
      </c>
    </row>
    <row r="58" spans="1:9">
      <c r="A58" s="17">
        <v>2</v>
      </c>
      <c r="B58" s="24" t="s">
        <v>470</v>
      </c>
      <c r="C58" s="25"/>
      <c r="D58" s="20"/>
      <c r="E58" s="20"/>
      <c r="F58" s="22"/>
      <c r="G58" s="23"/>
    </row>
    <row r="59" spans="1:9">
      <c r="A59" s="17"/>
      <c r="B59" s="18" t="s">
        <v>471</v>
      </c>
      <c r="C59" s="19" t="s">
        <v>70</v>
      </c>
      <c r="D59" s="20">
        <v>10</v>
      </c>
      <c r="E59" s="93">
        <v>0.35</v>
      </c>
      <c r="F59" s="22">
        <f>+D59*E59</f>
        <v>3.5</v>
      </c>
      <c r="G59" s="23">
        <f t="shared" ref="G59:G77" si="4">+F59*$G$53</f>
        <v>0</v>
      </c>
    </row>
    <row r="60" spans="1:9">
      <c r="A60" s="17"/>
      <c r="B60" s="18" t="s">
        <v>472</v>
      </c>
      <c r="C60" s="19" t="s">
        <v>21</v>
      </c>
      <c r="D60" s="20">
        <v>4</v>
      </c>
      <c r="E60" s="21">
        <v>2.1800000000000002</v>
      </c>
      <c r="F60" s="22">
        <f>+D60*E60</f>
        <v>8.7200000000000006</v>
      </c>
      <c r="G60" s="23">
        <f t="shared" si="4"/>
        <v>0</v>
      </c>
    </row>
    <row r="61" spans="1:9">
      <c r="A61" s="17"/>
      <c r="B61" s="26" t="s">
        <v>473</v>
      </c>
      <c r="C61" s="19" t="s">
        <v>146</v>
      </c>
      <c r="D61" s="20">
        <v>20</v>
      </c>
      <c r="E61" s="27">
        <v>1.98</v>
      </c>
      <c r="F61" s="22">
        <f>+D61*E61</f>
        <v>39.6</v>
      </c>
      <c r="G61" s="23">
        <f t="shared" si="4"/>
        <v>0</v>
      </c>
    </row>
    <row r="62" spans="1:9">
      <c r="A62" s="17"/>
      <c r="B62" s="26" t="s">
        <v>474</v>
      </c>
      <c r="C62" s="19" t="s">
        <v>146</v>
      </c>
      <c r="D62" s="20">
        <v>0.1</v>
      </c>
      <c r="E62" s="21">
        <v>2.83</v>
      </c>
      <c r="F62" s="22">
        <f>+D62*E62</f>
        <v>0.28300000000000003</v>
      </c>
      <c r="G62" s="23">
        <f t="shared" si="4"/>
        <v>0</v>
      </c>
    </row>
    <row r="63" spans="1:9" ht="12.75" customHeight="1">
      <c r="A63" s="17"/>
      <c r="B63" s="26" t="s">
        <v>475</v>
      </c>
      <c r="C63" s="19" t="s">
        <v>146</v>
      </c>
      <c r="D63" s="20">
        <v>10</v>
      </c>
      <c r="E63" s="27">
        <v>0.61</v>
      </c>
      <c r="F63" s="22">
        <f>+D63*E63</f>
        <v>6.1</v>
      </c>
      <c r="G63" s="23">
        <f t="shared" si="4"/>
        <v>0</v>
      </c>
    </row>
    <row r="64" spans="1:9">
      <c r="A64" s="17">
        <v>3</v>
      </c>
      <c r="B64" s="24" t="s">
        <v>476</v>
      </c>
      <c r="C64" s="19" t="s">
        <v>353</v>
      </c>
      <c r="D64" s="20"/>
      <c r="E64" s="20"/>
      <c r="F64" s="22"/>
      <c r="G64" s="23"/>
    </row>
    <row r="65" spans="1:9">
      <c r="A65" s="17"/>
      <c r="B65" s="26" t="s">
        <v>209</v>
      </c>
      <c r="C65" s="19"/>
      <c r="D65" s="20">
        <v>4.0000000000000001E-3</v>
      </c>
      <c r="E65" s="28">
        <v>111.02</v>
      </c>
      <c r="F65" s="22">
        <f t="shared" ref="F65:F77" si="5">+D65*E65</f>
        <v>0.44407999999999997</v>
      </c>
      <c r="G65" s="23">
        <f t="shared" si="4"/>
        <v>0</v>
      </c>
    </row>
    <row r="66" spans="1:9">
      <c r="A66" s="17"/>
      <c r="B66" s="26" t="s">
        <v>486</v>
      </c>
      <c r="C66" s="19"/>
      <c r="D66" s="20">
        <v>0.05</v>
      </c>
      <c r="E66" s="28">
        <v>10.01</v>
      </c>
      <c r="F66" s="22">
        <f t="shared" si="5"/>
        <v>0.50050000000000006</v>
      </c>
      <c r="G66" s="23">
        <f t="shared" si="4"/>
        <v>0</v>
      </c>
    </row>
    <row r="67" spans="1:9">
      <c r="A67" s="17"/>
      <c r="B67" s="26" t="s">
        <v>487</v>
      </c>
      <c r="C67" s="19"/>
      <c r="D67" s="20">
        <v>6.0000000000000001E-3</v>
      </c>
      <c r="E67" s="28">
        <v>292.69</v>
      </c>
      <c r="F67" s="22">
        <f t="shared" si="5"/>
        <v>1.75614</v>
      </c>
      <c r="G67" s="23">
        <f t="shared" si="4"/>
        <v>0</v>
      </c>
    </row>
    <row r="68" spans="1:9">
      <c r="A68" s="17"/>
      <c r="B68" s="26" t="s">
        <v>210</v>
      </c>
      <c r="C68" s="19"/>
      <c r="D68" s="20">
        <v>2.5000000000000001E-2</v>
      </c>
      <c r="E68" s="28">
        <v>6.36</v>
      </c>
      <c r="F68" s="22">
        <f t="shared" si="5"/>
        <v>0.15900000000000003</v>
      </c>
      <c r="G68" s="23">
        <f t="shared" si="4"/>
        <v>0</v>
      </c>
    </row>
    <row r="69" spans="1:9">
      <c r="A69" s="17"/>
      <c r="B69" s="26" t="s">
        <v>355</v>
      </c>
      <c r="C69" s="19"/>
      <c r="D69" s="20">
        <v>1.5E-3</v>
      </c>
      <c r="E69" s="28">
        <v>52.89</v>
      </c>
      <c r="F69" s="22">
        <f t="shared" si="5"/>
        <v>7.9335000000000003E-2</v>
      </c>
      <c r="G69" s="23">
        <f t="shared" si="4"/>
        <v>0</v>
      </c>
    </row>
    <row r="70" spans="1:9">
      <c r="A70" s="17"/>
      <c r="B70" s="26" t="s">
        <v>488</v>
      </c>
      <c r="C70" s="19"/>
      <c r="D70" s="20">
        <v>3.2000000000000002E-3</v>
      </c>
      <c r="E70" s="28">
        <v>76.709999999999994</v>
      </c>
      <c r="F70" s="22">
        <f t="shared" si="5"/>
        <v>0.245472</v>
      </c>
      <c r="G70" s="23">
        <f t="shared" si="4"/>
        <v>0</v>
      </c>
    </row>
    <row r="71" spans="1:9">
      <c r="A71" s="17"/>
      <c r="B71" s="26" t="s">
        <v>489</v>
      </c>
      <c r="C71" s="19"/>
      <c r="D71" s="20">
        <v>0.02</v>
      </c>
      <c r="E71" s="28">
        <v>234.15</v>
      </c>
      <c r="F71" s="22">
        <f t="shared" si="5"/>
        <v>4.6829999999999998</v>
      </c>
      <c r="G71" s="23">
        <f t="shared" si="4"/>
        <v>0</v>
      </c>
    </row>
    <row r="72" spans="1:9">
      <c r="A72" s="17"/>
      <c r="B72" s="26" t="s">
        <v>478</v>
      </c>
      <c r="C72" s="19"/>
      <c r="D72" s="20">
        <v>1</v>
      </c>
      <c r="E72" s="27">
        <v>2.83</v>
      </c>
      <c r="F72" s="22">
        <f t="shared" si="5"/>
        <v>2.83</v>
      </c>
      <c r="G72" s="23">
        <f t="shared" si="4"/>
        <v>0</v>
      </c>
    </row>
    <row r="73" spans="1:9" ht="13.5" thickBot="1">
      <c r="A73" s="17">
        <v>4</v>
      </c>
      <c r="B73" s="24" t="s">
        <v>134</v>
      </c>
      <c r="C73" s="19" t="s">
        <v>353</v>
      </c>
      <c r="D73" s="20">
        <v>20</v>
      </c>
      <c r="E73" s="28">
        <v>1.17</v>
      </c>
      <c r="F73" s="22">
        <f t="shared" si="5"/>
        <v>23.4</v>
      </c>
      <c r="G73" s="23">
        <f t="shared" si="4"/>
        <v>0</v>
      </c>
    </row>
    <row r="74" spans="1:9" ht="11.25" customHeight="1">
      <c r="A74" s="17">
        <v>5</v>
      </c>
      <c r="B74" s="24" t="s">
        <v>479</v>
      </c>
      <c r="C74" s="25"/>
      <c r="D74" s="20"/>
      <c r="E74" s="20"/>
      <c r="F74" s="22"/>
      <c r="G74" s="23"/>
      <c r="H74" s="505" t="s">
        <v>481</v>
      </c>
      <c r="I74" s="506"/>
    </row>
    <row r="75" spans="1:9">
      <c r="A75" s="17"/>
      <c r="B75" s="18" t="s">
        <v>480</v>
      </c>
      <c r="C75" s="19" t="s">
        <v>353</v>
      </c>
      <c r="D75" s="20">
        <v>3</v>
      </c>
      <c r="E75" s="28">
        <v>1.17</v>
      </c>
      <c r="F75" s="22">
        <f t="shared" si="5"/>
        <v>3.51</v>
      </c>
      <c r="G75" s="23">
        <f t="shared" si="4"/>
        <v>0</v>
      </c>
      <c r="H75" s="507"/>
      <c r="I75" s="508"/>
    </row>
    <row r="76" spans="1:9" ht="13.5" thickBot="1">
      <c r="A76" s="17"/>
      <c r="B76" s="18" t="s">
        <v>482</v>
      </c>
      <c r="C76" s="19" t="s">
        <v>353</v>
      </c>
      <c r="D76" s="20">
        <v>4</v>
      </c>
      <c r="E76" s="28">
        <v>1.17</v>
      </c>
      <c r="F76" s="22">
        <f t="shared" si="5"/>
        <v>4.68</v>
      </c>
      <c r="G76" s="23">
        <f t="shared" si="4"/>
        <v>0</v>
      </c>
      <c r="H76" s="509">
        <v>600</v>
      </c>
      <c r="I76" s="510"/>
    </row>
    <row r="77" spans="1:9" ht="13.5" thickBot="1">
      <c r="A77" s="30"/>
      <c r="B77" s="31" t="s">
        <v>483</v>
      </c>
      <c r="C77" s="32" t="s">
        <v>201</v>
      </c>
      <c r="D77" s="39"/>
      <c r="E77" s="39"/>
      <c r="F77" s="33">
        <f t="shared" si="5"/>
        <v>0</v>
      </c>
      <c r="G77" s="34">
        <f t="shared" si="4"/>
        <v>0</v>
      </c>
      <c r="H77" s="501" t="s">
        <v>484</v>
      </c>
      <c r="I77" s="502"/>
    </row>
    <row r="78" spans="1:9" ht="15.75" customHeight="1" thickBot="1">
      <c r="A78" s="514" t="s">
        <v>30</v>
      </c>
      <c r="B78" s="515"/>
      <c r="C78" s="515"/>
      <c r="D78" s="515"/>
      <c r="E78" s="515"/>
      <c r="F78" s="35">
        <f>SUM(F56:F77)</f>
        <v>147.290527</v>
      </c>
      <c r="G78" s="36">
        <f>SUM(G57:G77)</f>
        <v>0</v>
      </c>
      <c r="H78" s="503">
        <f>+F78/H76</f>
        <v>0.24548421166666667</v>
      </c>
      <c r="I78" s="504"/>
    </row>
    <row r="79" spans="1:9" ht="13.5" thickBot="1"/>
    <row r="80" spans="1:9" ht="13.5" thickBot="1">
      <c r="B80" s="2" t="s">
        <v>205</v>
      </c>
      <c r="F80" s="1" t="s">
        <v>530</v>
      </c>
      <c r="G80" s="4">
        <v>0</v>
      </c>
    </row>
    <row r="81" spans="1:8" ht="16.5" customHeight="1" thickBot="1">
      <c r="C81" s="5"/>
      <c r="D81" s="5"/>
      <c r="E81" s="5"/>
      <c r="F81" s="516" t="s">
        <v>531</v>
      </c>
      <c r="G81" s="516"/>
      <c r="H81" s="37"/>
    </row>
    <row r="82" spans="1:8" ht="39" thickBot="1">
      <c r="A82" s="372" t="s">
        <v>716</v>
      </c>
      <c r="B82" s="7" t="s">
        <v>464</v>
      </c>
      <c r="C82" s="8" t="s">
        <v>4</v>
      </c>
      <c r="D82" s="8" t="s">
        <v>465</v>
      </c>
      <c r="E82" s="8" t="s">
        <v>466</v>
      </c>
      <c r="F82" s="9" t="s">
        <v>467</v>
      </c>
      <c r="G82" s="10" t="s">
        <v>468</v>
      </c>
    </row>
    <row r="83" spans="1:8" ht="13.5" thickTop="1">
      <c r="A83" s="11">
        <v>1</v>
      </c>
      <c r="B83" s="12" t="s">
        <v>469</v>
      </c>
      <c r="C83" s="13"/>
      <c r="D83" s="14"/>
      <c r="E83" s="14"/>
      <c r="F83" s="14"/>
      <c r="G83" s="16"/>
    </row>
    <row r="84" spans="1:8">
      <c r="A84" s="17"/>
      <c r="B84" s="18" t="s">
        <v>16</v>
      </c>
      <c r="C84" s="19" t="s">
        <v>18</v>
      </c>
      <c r="D84" s="20">
        <v>260</v>
      </c>
      <c r="E84" s="21">
        <v>9.9000000000000005E-2</v>
      </c>
      <c r="F84" s="22">
        <f>+D84*E84</f>
        <v>25.740000000000002</v>
      </c>
      <c r="G84" s="23">
        <f>+F84*$G$80</f>
        <v>0</v>
      </c>
    </row>
    <row r="85" spans="1:8">
      <c r="A85" s="17">
        <v>2</v>
      </c>
      <c r="B85" s="24" t="s">
        <v>470</v>
      </c>
      <c r="C85" s="25"/>
      <c r="D85" s="20"/>
      <c r="E85" s="20"/>
      <c r="F85" s="22"/>
      <c r="G85" s="23"/>
    </row>
    <row r="86" spans="1:8">
      <c r="A86" s="17"/>
      <c r="B86" s="18" t="s">
        <v>471</v>
      </c>
      <c r="C86" s="19" t="s">
        <v>70</v>
      </c>
      <c r="D86" s="20">
        <v>10</v>
      </c>
      <c r="E86" s="93">
        <v>0.35</v>
      </c>
      <c r="F86" s="22">
        <f>+D86*E86</f>
        <v>3.5</v>
      </c>
      <c r="G86" s="23">
        <f t="shared" ref="G86:G106" si="6">+F86*$G$80</f>
        <v>0</v>
      </c>
    </row>
    <row r="87" spans="1:8">
      <c r="A87" s="17"/>
      <c r="B87" s="18" t="s">
        <v>472</v>
      </c>
      <c r="C87" s="19" t="s">
        <v>21</v>
      </c>
      <c r="D87" s="20">
        <v>4</v>
      </c>
      <c r="E87" s="21">
        <v>2.1800000000000002</v>
      </c>
      <c r="F87" s="22">
        <f>+D87*E87</f>
        <v>8.7200000000000006</v>
      </c>
      <c r="G87" s="23">
        <f t="shared" si="6"/>
        <v>0</v>
      </c>
    </row>
    <row r="88" spans="1:8">
      <c r="A88" s="17"/>
      <c r="B88" s="26" t="s">
        <v>473</v>
      </c>
      <c r="C88" s="19" t="s">
        <v>146</v>
      </c>
      <c r="D88" s="20">
        <v>20</v>
      </c>
      <c r="E88" s="27">
        <v>1.98</v>
      </c>
      <c r="F88" s="22">
        <f>+D88*E88</f>
        <v>39.6</v>
      </c>
      <c r="G88" s="23">
        <f t="shared" si="6"/>
        <v>0</v>
      </c>
    </row>
    <row r="89" spans="1:8">
      <c r="A89" s="17"/>
      <c r="B89" s="26" t="s">
        <v>474</v>
      </c>
      <c r="C89" s="19" t="s">
        <v>146</v>
      </c>
      <c r="D89" s="20">
        <v>0.1</v>
      </c>
      <c r="E89" s="21">
        <v>2.83</v>
      </c>
      <c r="F89" s="22">
        <f>+D89*E89</f>
        <v>0.28300000000000003</v>
      </c>
      <c r="G89" s="23">
        <f t="shared" si="6"/>
        <v>0</v>
      </c>
    </row>
    <row r="90" spans="1:8" ht="12.75" customHeight="1">
      <c r="A90" s="17"/>
      <c r="B90" s="26" t="s">
        <v>475</v>
      </c>
      <c r="C90" s="19" t="s">
        <v>146</v>
      </c>
      <c r="D90" s="20">
        <v>10</v>
      </c>
      <c r="E90" s="27">
        <v>0.73</v>
      </c>
      <c r="F90" s="22">
        <f>+D90*E90</f>
        <v>7.3</v>
      </c>
      <c r="G90" s="23">
        <f t="shared" si="6"/>
        <v>0</v>
      </c>
    </row>
    <row r="91" spans="1:8">
      <c r="A91" s="17">
        <v>3</v>
      </c>
      <c r="B91" s="24" t="s">
        <v>476</v>
      </c>
      <c r="C91" s="19" t="s">
        <v>353</v>
      </c>
      <c r="D91" s="20"/>
      <c r="E91" s="20"/>
      <c r="F91" s="22"/>
      <c r="G91" s="23"/>
    </row>
    <row r="92" spans="1:8">
      <c r="A92" s="17"/>
      <c r="B92" s="26" t="s">
        <v>491</v>
      </c>
      <c r="C92" s="19"/>
      <c r="D92" s="20">
        <v>0.1</v>
      </c>
      <c r="E92" s="28">
        <v>75.819999999999993</v>
      </c>
      <c r="F92" s="22">
        <f t="shared" ref="F92:F106" si="7">+D92*E92</f>
        <v>7.5819999999999999</v>
      </c>
      <c r="G92" s="23">
        <f t="shared" si="6"/>
        <v>0</v>
      </c>
    </row>
    <row r="93" spans="1:8">
      <c r="A93" s="17"/>
      <c r="B93" s="26" t="s">
        <v>210</v>
      </c>
      <c r="C93" s="19"/>
      <c r="D93" s="20">
        <v>2.5000000000000001E-2</v>
      </c>
      <c r="E93" s="28">
        <v>6.46</v>
      </c>
      <c r="F93" s="22">
        <f t="shared" si="7"/>
        <v>0.1615</v>
      </c>
      <c r="G93" s="23">
        <f t="shared" si="6"/>
        <v>0</v>
      </c>
    </row>
    <row r="94" spans="1:8" ht="12.75" customHeight="1">
      <c r="A94" s="17"/>
      <c r="B94" s="26" t="s">
        <v>486</v>
      </c>
      <c r="C94" s="19"/>
      <c r="D94" s="20">
        <v>0.05</v>
      </c>
      <c r="E94" s="28">
        <v>10.01</v>
      </c>
      <c r="F94" s="22">
        <f t="shared" si="7"/>
        <v>0.50050000000000006</v>
      </c>
      <c r="G94" s="23">
        <f t="shared" si="6"/>
        <v>0</v>
      </c>
    </row>
    <row r="95" spans="1:8">
      <c r="A95" s="17"/>
      <c r="B95" s="26" t="s">
        <v>192</v>
      </c>
      <c r="C95" s="19"/>
      <c r="D95" s="20">
        <v>0.03</v>
      </c>
      <c r="E95" s="28">
        <v>22.64</v>
      </c>
      <c r="F95" s="22">
        <f t="shared" si="7"/>
        <v>0.67920000000000003</v>
      </c>
      <c r="G95" s="23">
        <f t="shared" si="6"/>
        <v>0</v>
      </c>
    </row>
    <row r="96" spans="1:8">
      <c r="A96" s="17"/>
      <c r="B96" s="26" t="s">
        <v>212</v>
      </c>
      <c r="C96" s="19"/>
      <c r="D96" s="20">
        <v>7.4999999999999997E-3</v>
      </c>
      <c r="E96" s="27">
        <v>91.24</v>
      </c>
      <c r="F96" s="22">
        <f>+D96*E96</f>
        <v>0.68429999999999991</v>
      </c>
      <c r="G96" s="23">
        <f t="shared" si="6"/>
        <v>0</v>
      </c>
    </row>
    <row r="97" spans="1:9">
      <c r="A97" s="17"/>
      <c r="B97" s="26" t="s">
        <v>694</v>
      </c>
      <c r="C97" s="19"/>
      <c r="D97" s="20">
        <v>2E-3</v>
      </c>
      <c r="E97" s="27">
        <v>50.06</v>
      </c>
      <c r="F97" s="22">
        <f>+D97*E97</f>
        <v>0.10012</v>
      </c>
      <c r="G97" s="23">
        <f t="shared" si="6"/>
        <v>0</v>
      </c>
    </row>
    <row r="98" spans="1:9">
      <c r="A98" s="17"/>
      <c r="B98" s="26" t="s">
        <v>492</v>
      </c>
      <c r="C98" s="19"/>
      <c r="D98" s="20">
        <v>1E-3</v>
      </c>
      <c r="E98" s="28">
        <v>44.09</v>
      </c>
      <c r="F98" s="22">
        <f>+D98*E98</f>
        <v>4.4090000000000004E-2</v>
      </c>
      <c r="G98" s="23">
        <f t="shared" si="6"/>
        <v>0</v>
      </c>
    </row>
    <row r="99" spans="1:9">
      <c r="A99" s="17"/>
      <c r="B99" s="26" t="s">
        <v>211</v>
      </c>
      <c r="C99" s="19"/>
      <c r="D99" s="20">
        <v>1E-3</v>
      </c>
      <c r="E99" s="28">
        <v>52.89</v>
      </c>
      <c r="F99" s="22">
        <f>+D99*E99</f>
        <v>5.289E-2</v>
      </c>
      <c r="G99" s="23">
        <f t="shared" si="6"/>
        <v>0</v>
      </c>
    </row>
    <row r="100" spans="1:9">
      <c r="A100" s="17"/>
      <c r="B100" s="26" t="s">
        <v>209</v>
      </c>
      <c r="C100" s="19"/>
      <c r="D100" s="20">
        <v>4.0000000000000001E-3</v>
      </c>
      <c r="E100" s="28">
        <v>111.02</v>
      </c>
      <c r="F100" s="22">
        <f>+D100*E100</f>
        <v>0.44407999999999997</v>
      </c>
      <c r="G100" s="23">
        <f t="shared" si="6"/>
        <v>0</v>
      </c>
    </row>
    <row r="101" spans="1:9">
      <c r="A101" s="17"/>
      <c r="B101" s="26" t="s">
        <v>478</v>
      </c>
      <c r="C101" s="19"/>
      <c r="D101" s="20">
        <v>1</v>
      </c>
      <c r="E101" s="27">
        <v>2.83</v>
      </c>
      <c r="F101" s="22">
        <f t="shared" si="7"/>
        <v>2.83</v>
      </c>
      <c r="G101" s="23">
        <f t="shared" si="6"/>
        <v>0</v>
      </c>
    </row>
    <row r="102" spans="1:9" ht="13.5" thickBot="1">
      <c r="A102" s="17">
        <v>4</v>
      </c>
      <c r="B102" s="24" t="s">
        <v>134</v>
      </c>
      <c r="C102" s="19" t="s">
        <v>353</v>
      </c>
      <c r="D102" s="20">
        <v>20</v>
      </c>
      <c r="E102" s="28">
        <v>1.17</v>
      </c>
      <c r="F102" s="22">
        <f t="shared" si="7"/>
        <v>23.4</v>
      </c>
      <c r="G102" s="23">
        <f t="shared" si="6"/>
        <v>0</v>
      </c>
    </row>
    <row r="103" spans="1:9" ht="11.25" customHeight="1">
      <c r="A103" s="17"/>
      <c r="B103" s="24" t="s">
        <v>479</v>
      </c>
      <c r="C103" s="25"/>
      <c r="D103" s="20"/>
      <c r="E103" s="20"/>
      <c r="F103" s="22"/>
      <c r="G103" s="23"/>
      <c r="H103" s="505" t="s">
        <v>481</v>
      </c>
      <c r="I103" s="506"/>
    </row>
    <row r="104" spans="1:9">
      <c r="A104" s="17"/>
      <c r="B104" s="18" t="s">
        <v>480</v>
      </c>
      <c r="C104" s="19" t="s">
        <v>353</v>
      </c>
      <c r="D104" s="20">
        <v>3</v>
      </c>
      <c r="E104" s="28">
        <v>1.17</v>
      </c>
      <c r="F104" s="22">
        <f t="shared" si="7"/>
        <v>3.51</v>
      </c>
      <c r="G104" s="23">
        <f t="shared" si="6"/>
        <v>0</v>
      </c>
      <c r="H104" s="507"/>
      <c r="I104" s="508"/>
    </row>
    <row r="105" spans="1:9" ht="13.5" thickBot="1">
      <c r="A105" s="17"/>
      <c r="B105" s="18" t="s">
        <v>482</v>
      </c>
      <c r="C105" s="19" t="s">
        <v>353</v>
      </c>
      <c r="D105" s="20">
        <v>4</v>
      </c>
      <c r="E105" s="28">
        <v>1.17</v>
      </c>
      <c r="F105" s="22">
        <f t="shared" si="7"/>
        <v>4.68</v>
      </c>
      <c r="G105" s="23">
        <f t="shared" si="6"/>
        <v>0</v>
      </c>
      <c r="H105" s="509">
        <v>260</v>
      </c>
      <c r="I105" s="510"/>
    </row>
    <row r="106" spans="1:9" ht="13.5" thickBot="1">
      <c r="A106" s="30"/>
      <c r="B106" s="31" t="s">
        <v>483</v>
      </c>
      <c r="C106" s="32" t="s">
        <v>201</v>
      </c>
      <c r="D106" s="39"/>
      <c r="E106" s="39"/>
      <c r="F106" s="33">
        <f t="shared" si="7"/>
        <v>0</v>
      </c>
      <c r="G106" s="34">
        <f t="shared" si="6"/>
        <v>0</v>
      </c>
      <c r="H106" s="501" t="s">
        <v>484</v>
      </c>
      <c r="I106" s="502"/>
    </row>
    <row r="107" spans="1:9" ht="15.75" customHeight="1" thickBot="1">
      <c r="A107" s="514" t="s">
        <v>30</v>
      </c>
      <c r="B107" s="515"/>
      <c r="C107" s="515"/>
      <c r="D107" s="515"/>
      <c r="E107" s="515"/>
      <c r="F107" s="35">
        <f>SUM(F83:F106)</f>
        <v>129.81168</v>
      </c>
      <c r="G107" s="36">
        <f>SUM(G84:G106)</f>
        <v>0</v>
      </c>
      <c r="H107" s="503">
        <f>+F107/H105</f>
        <v>0.49927569230769231</v>
      </c>
      <c r="I107" s="504"/>
    </row>
    <row r="108" spans="1:9" ht="13.5" customHeight="1" thickBot="1">
      <c r="B108" s="525"/>
      <c r="C108" s="525"/>
      <c r="D108" s="525"/>
      <c r="E108" s="525"/>
      <c r="F108" s="41"/>
      <c r="I108" s="42"/>
    </row>
    <row r="109" spans="1:9" ht="13.5" thickBot="1">
      <c r="B109" s="2" t="s">
        <v>528</v>
      </c>
      <c r="F109" s="1" t="s">
        <v>530</v>
      </c>
      <c r="G109" s="4">
        <v>0</v>
      </c>
    </row>
    <row r="110" spans="1:9" ht="16.5" customHeight="1" thickBot="1">
      <c r="C110" s="5"/>
      <c r="D110" s="5"/>
      <c r="E110" s="5"/>
      <c r="F110" s="516" t="s">
        <v>531</v>
      </c>
      <c r="G110" s="516"/>
      <c r="H110" s="37"/>
      <c r="I110" s="43"/>
    </row>
    <row r="111" spans="1:9" ht="39" thickBot="1">
      <c r="A111" s="372" t="s">
        <v>716</v>
      </c>
      <c r="B111" s="7" t="s">
        <v>464</v>
      </c>
      <c r="C111" s="8" t="s">
        <v>4</v>
      </c>
      <c r="D111" s="8" t="s">
        <v>465</v>
      </c>
      <c r="E111" s="8" t="s">
        <v>466</v>
      </c>
      <c r="F111" s="9" t="s">
        <v>467</v>
      </c>
      <c r="G111" s="10" t="s">
        <v>468</v>
      </c>
    </row>
    <row r="112" spans="1:9" ht="13.5" thickTop="1">
      <c r="A112" s="11">
        <v>1</v>
      </c>
      <c r="B112" s="12" t="s">
        <v>469</v>
      </c>
      <c r="C112" s="13"/>
      <c r="D112" s="14"/>
      <c r="E112" s="14"/>
      <c r="F112" s="14"/>
      <c r="G112" s="16"/>
    </row>
    <row r="113" spans="1:7">
      <c r="A113" s="17"/>
      <c r="B113" s="18" t="s">
        <v>16</v>
      </c>
      <c r="C113" s="19" t="s">
        <v>18</v>
      </c>
      <c r="D113" s="20">
        <v>400</v>
      </c>
      <c r="E113" s="21">
        <v>9.9000000000000005E-2</v>
      </c>
      <c r="F113" s="22">
        <f>+D113*E113</f>
        <v>39.6</v>
      </c>
      <c r="G113" s="23">
        <f>+F113*$G$109</f>
        <v>0</v>
      </c>
    </row>
    <row r="114" spans="1:7">
      <c r="A114" s="17">
        <v>2</v>
      </c>
      <c r="B114" s="24" t="s">
        <v>470</v>
      </c>
      <c r="C114" s="25"/>
      <c r="D114" s="20"/>
      <c r="E114" s="20"/>
      <c r="F114" s="22"/>
      <c r="G114" s="23">
        <f t="shared" ref="G114:G135" si="8">+F114*$G$109</f>
        <v>0</v>
      </c>
    </row>
    <row r="115" spans="1:7">
      <c r="A115" s="17"/>
      <c r="B115" s="18" t="s">
        <v>471</v>
      </c>
      <c r="C115" s="19" t="s">
        <v>70</v>
      </c>
      <c r="D115" s="20">
        <v>10</v>
      </c>
      <c r="E115" s="93">
        <v>0.35</v>
      </c>
      <c r="F115" s="22">
        <f>+D115*E115</f>
        <v>3.5</v>
      </c>
      <c r="G115" s="23">
        <f t="shared" si="8"/>
        <v>0</v>
      </c>
    </row>
    <row r="116" spans="1:7">
      <c r="A116" s="17"/>
      <c r="B116" s="18" t="s">
        <v>472</v>
      </c>
      <c r="C116" s="19" t="s">
        <v>21</v>
      </c>
      <c r="D116" s="20">
        <v>4</v>
      </c>
      <c r="E116" s="21">
        <v>2.1800000000000002</v>
      </c>
      <c r="F116" s="22">
        <f>+D116*E116</f>
        <v>8.7200000000000006</v>
      </c>
      <c r="G116" s="23">
        <f t="shared" si="8"/>
        <v>0</v>
      </c>
    </row>
    <row r="117" spans="1:7">
      <c r="A117" s="17"/>
      <c r="B117" s="26" t="s">
        <v>473</v>
      </c>
      <c r="C117" s="19" t="s">
        <v>146</v>
      </c>
      <c r="D117" s="20">
        <v>20</v>
      </c>
      <c r="E117" s="27">
        <v>1.98</v>
      </c>
      <c r="F117" s="22">
        <f>+D117*E117</f>
        <v>39.6</v>
      </c>
      <c r="G117" s="23">
        <f t="shared" si="8"/>
        <v>0</v>
      </c>
    </row>
    <row r="118" spans="1:7">
      <c r="A118" s="17"/>
      <c r="B118" s="26" t="s">
        <v>474</v>
      </c>
      <c r="C118" s="19" t="s">
        <v>146</v>
      </c>
      <c r="D118" s="20">
        <v>0.1</v>
      </c>
      <c r="E118" s="21">
        <v>2.83</v>
      </c>
      <c r="F118" s="22">
        <f>+D118*E118</f>
        <v>0.28300000000000003</v>
      </c>
      <c r="G118" s="23">
        <f t="shared" si="8"/>
        <v>0</v>
      </c>
    </row>
    <row r="119" spans="1:7" ht="12.75" customHeight="1">
      <c r="A119" s="17"/>
      <c r="B119" s="26" t="s">
        <v>475</v>
      </c>
      <c r="C119" s="19" t="s">
        <v>146</v>
      </c>
      <c r="D119" s="20">
        <v>10</v>
      </c>
      <c r="E119" s="27">
        <v>0.73</v>
      </c>
      <c r="F119" s="22">
        <f>+D119*E119</f>
        <v>7.3</v>
      </c>
      <c r="G119" s="23">
        <f t="shared" si="8"/>
        <v>0</v>
      </c>
    </row>
    <row r="120" spans="1:7">
      <c r="A120" s="17">
        <v>3</v>
      </c>
      <c r="B120" s="24" t="s">
        <v>476</v>
      </c>
      <c r="C120" s="19" t="s">
        <v>353</v>
      </c>
      <c r="D120" s="20"/>
      <c r="E120" s="20"/>
      <c r="F120" s="22"/>
      <c r="G120" s="23"/>
    </row>
    <row r="121" spans="1:7">
      <c r="A121" s="17"/>
      <c r="B121" s="26" t="s">
        <v>491</v>
      </c>
      <c r="C121" s="19"/>
      <c r="D121" s="20">
        <v>0.1</v>
      </c>
      <c r="E121" s="28">
        <v>75.819999999999993</v>
      </c>
      <c r="F121" s="22">
        <f t="shared" ref="F121:F135" si="9">+D121*E121</f>
        <v>7.5819999999999999</v>
      </c>
      <c r="G121" s="23">
        <f t="shared" si="8"/>
        <v>0</v>
      </c>
    </row>
    <row r="122" spans="1:7">
      <c r="A122" s="17"/>
      <c r="B122" s="26" t="s">
        <v>210</v>
      </c>
      <c r="C122" s="19"/>
      <c r="D122" s="20">
        <v>2.5000000000000001E-2</v>
      </c>
      <c r="E122" s="28">
        <v>6.46</v>
      </c>
      <c r="F122" s="22">
        <f t="shared" si="9"/>
        <v>0.1615</v>
      </c>
      <c r="G122" s="23">
        <f t="shared" si="8"/>
        <v>0</v>
      </c>
    </row>
    <row r="123" spans="1:7" ht="12.75" customHeight="1">
      <c r="A123" s="17"/>
      <c r="B123" s="26" t="s">
        <v>486</v>
      </c>
      <c r="C123" s="19"/>
      <c r="D123" s="20">
        <v>0.05</v>
      </c>
      <c r="E123" s="28">
        <v>10.01</v>
      </c>
      <c r="F123" s="22">
        <f t="shared" si="9"/>
        <v>0.50050000000000006</v>
      </c>
      <c r="G123" s="23">
        <f t="shared" si="8"/>
        <v>0</v>
      </c>
    </row>
    <row r="124" spans="1:7">
      <c r="A124" s="17"/>
      <c r="B124" s="26" t="s">
        <v>192</v>
      </c>
      <c r="C124" s="19"/>
      <c r="D124" s="20">
        <v>0.03</v>
      </c>
      <c r="E124" s="28">
        <v>22.64</v>
      </c>
      <c r="F124" s="22">
        <f t="shared" si="9"/>
        <v>0.67920000000000003</v>
      </c>
      <c r="G124" s="23">
        <f t="shared" si="8"/>
        <v>0</v>
      </c>
    </row>
    <row r="125" spans="1:7">
      <c r="A125" s="17"/>
      <c r="B125" s="26" t="s">
        <v>212</v>
      </c>
      <c r="C125" s="19"/>
      <c r="D125" s="20">
        <v>7.4999999999999997E-3</v>
      </c>
      <c r="E125" s="27">
        <v>91.24</v>
      </c>
      <c r="F125" s="22">
        <f>+D125*E125</f>
        <v>0.68429999999999991</v>
      </c>
      <c r="G125" s="23">
        <f t="shared" si="8"/>
        <v>0</v>
      </c>
    </row>
    <row r="126" spans="1:7">
      <c r="A126" s="17"/>
      <c r="B126" s="26" t="s">
        <v>694</v>
      </c>
      <c r="C126" s="19"/>
      <c r="D126" s="20">
        <v>2E-3</v>
      </c>
      <c r="E126" s="27">
        <v>50.06</v>
      </c>
      <c r="F126" s="22">
        <f>+D126*E126</f>
        <v>0.10012</v>
      </c>
      <c r="G126" s="23">
        <f t="shared" si="8"/>
        <v>0</v>
      </c>
    </row>
    <row r="127" spans="1:7">
      <c r="A127" s="17"/>
      <c r="B127" s="26" t="s">
        <v>492</v>
      </c>
      <c r="C127" s="19"/>
      <c r="D127" s="20">
        <v>1E-3</v>
      </c>
      <c r="E127" s="28">
        <v>44.09</v>
      </c>
      <c r="F127" s="22">
        <f>+D127*E127</f>
        <v>4.4090000000000004E-2</v>
      </c>
      <c r="G127" s="23">
        <f t="shared" si="8"/>
        <v>0</v>
      </c>
    </row>
    <row r="128" spans="1:7">
      <c r="A128" s="17"/>
      <c r="B128" s="26" t="s">
        <v>211</v>
      </c>
      <c r="C128" s="19"/>
      <c r="D128" s="20">
        <v>1E-3</v>
      </c>
      <c r="E128" s="28">
        <v>52.89</v>
      </c>
      <c r="F128" s="22">
        <f>+D128*E128</f>
        <v>5.289E-2</v>
      </c>
      <c r="G128" s="23">
        <f t="shared" si="8"/>
        <v>0</v>
      </c>
    </row>
    <row r="129" spans="1:9">
      <c r="A129" s="17"/>
      <c r="B129" s="26" t="s">
        <v>209</v>
      </c>
      <c r="C129" s="19"/>
      <c r="D129" s="20">
        <v>4.0000000000000001E-3</v>
      </c>
      <c r="E129" s="28">
        <v>111.02</v>
      </c>
      <c r="F129" s="22">
        <f>+D129*E129</f>
        <v>0.44407999999999997</v>
      </c>
      <c r="G129" s="23">
        <f t="shared" si="8"/>
        <v>0</v>
      </c>
    </row>
    <row r="130" spans="1:9">
      <c r="A130" s="17"/>
      <c r="B130" s="26" t="s">
        <v>478</v>
      </c>
      <c r="C130" s="19"/>
      <c r="D130" s="20">
        <v>1</v>
      </c>
      <c r="E130" s="27">
        <v>2.83</v>
      </c>
      <c r="F130" s="22">
        <f t="shared" si="9"/>
        <v>2.83</v>
      </c>
      <c r="G130" s="23">
        <f t="shared" si="8"/>
        <v>0</v>
      </c>
    </row>
    <row r="131" spans="1:9" ht="13.5" thickBot="1">
      <c r="A131" s="17">
        <v>4</v>
      </c>
      <c r="B131" s="24" t="s">
        <v>134</v>
      </c>
      <c r="C131" s="19" t="s">
        <v>353</v>
      </c>
      <c r="D131" s="20">
        <v>20</v>
      </c>
      <c r="E131" s="28">
        <v>1.17</v>
      </c>
      <c r="F131" s="22">
        <f t="shared" si="9"/>
        <v>23.4</v>
      </c>
      <c r="G131" s="23">
        <f t="shared" si="8"/>
        <v>0</v>
      </c>
    </row>
    <row r="132" spans="1:9" ht="11.25" customHeight="1">
      <c r="A132" s="17">
        <v>5</v>
      </c>
      <c r="B132" s="24" t="s">
        <v>479</v>
      </c>
      <c r="C132" s="25"/>
      <c r="D132" s="20"/>
      <c r="E132" s="20"/>
      <c r="F132" s="22"/>
      <c r="G132" s="23"/>
      <c r="H132" s="505" t="s">
        <v>481</v>
      </c>
      <c r="I132" s="506"/>
    </row>
    <row r="133" spans="1:9">
      <c r="A133" s="17"/>
      <c r="B133" s="18" t="s">
        <v>480</v>
      </c>
      <c r="C133" s="19" t="s">
        <v>353</v>
      </c>
      <c r="D133" s="20">
        <v>3</v>
      </c>
      <c r="E133" s="28">
        <v>1.17</v>
      </c>
      <c r="F133" s="22">
        <f t="shared" si="9"/>
        <v>3.51</v>
      </c>
      <c r="G133" s="23">
        <f t="shared" si="8"/>
        <v>0</v>
      </c>
      <c r="H133" s="507"/>
      <c r="I133" s="508"/>
    </row>
    <row r="134" spans="1:9" ht="13.5" thickBot="1">
      <c r="A134" s="17"/>
      <c r="B134" s="18" t="s">
        <v>482</v>
      </c>
      <c r="C134" s="19" t="s">
        <v>353</v>
      </c>
      <c r="D134" s="20">
        <v>4</v>
      </c>
      <c r="E134" s="28">
        <v>1.17</v>
      </c>
      <c r="F134" s="22">
        <f t="shared" si="9"/>
        <v>4.68</v>
      </c>
      <c r="G134" s="23">
        <f t="shared" si="8"/>
        <v>0</v>
      </c>
      <c r="H134" s="509">
        <v>400</v>
      </c>
      <c r="I134" s="510"/>
    </row>
    <row r="135" spans="1:9" ht="13.5" thickBot="1">
      <c r="A135" s="30"/>
      <c r="B135" s="31" t="s">
        <v>483</v>
      </c>
      <c r="C135" s="32" t="s">
        <v>201</v>
      </c>
      <c r="D135" s="39"/>
      <c r="E135" s="39"/>
      <c r="F135" s="33">
        <f t="shared" si="9"/>
        <v>0</v>
      </c>
      <c r="G135" s="34">
        <f t="shared" si="8"/>
        <v>0</v>
      </c>
      <c r="H135" s="501" t="s">
        <v>484</v>
      </c>
      <c r="I135" s="502"/>
    </row>
    <row r="136" spans="1:9" ht="15.75" customHeight="1" thickBot="1">
      <c r="A136" s="44"/>
      <c r="B136" s="523" t="s">
        <v>30</v>
      </c>
      <c r="C136" s="515"/>
      <c r="D136" s="515"/>
      <c r="E136" s="524"/>
      <c r="F136" s="35">
        <f>SUM(F112:F135)</f>
        <v>143.67167999999998</v>
      </c>
      <c r="G136" s="36">
        <f>SUM(G113:G135)</f>
        <v>0</v>
      </c>
      <c r="H136" s="503">
        <f>+F136/H134</f>
        <v>0.35917919999999998</v>
      </c>
      <c r="I136" s="504"/>
    </row>
    <row r="137" spans="1:9" ht="13.5" thickBot="1">
      <c r="B137" s="525"/>
      <c r="C137" s="525"/>
      <c r="D137" s="525"/>
      <c r="E137" s="525"/>
      <c r="I137" s="45"/>
    </row>
    <row r="138" spans="1:9" ht="13.5" thickBot="1">
      <c r="B138" s="2" t="s">
        <v>255</v>
      </c>
      <c r="F138" s="1" t="s">
        <v>530</v>
      </c>
      <c r="G138" s="4">
        <v>0</v>
      </c>
    </row>
    <row r="139" spans="1:9" ht="16.5" customHeight="1" thickBot="1">
      <c r="C139" s="5"/>
      <c r="D139" s="5"/>
      <c r="E139" s="5"/>
      <c r="F139" s="516" t="s">
        <v>531</v>
      </c>
      <c r="G139" s="516"/>
      <c r="H139" s="6"/>
      <c r="I139" s="40"/>
    </row>
    <row r="140" spans="1:9" ht="39" thickBot="1">
      <c r="A140" s="372" t="s">
        <v>716</v>
      </c>
      <c r="B140" s="7" t="s">
        <v>464</v>
      </c>
      <c r="C140" s="8" t="s">
        <v>4</v>
      </c>
      <c r="D140" s="8" t="s">
        <v>465</v>
      </c>
      <c r="E140" s="8" t="s">
        <v>466</v>
      </c>
      <c r="F140" s="9" t="s">
        <v>467</v>
      </c>
      <c r="G140" s="10" t="s">
        <v>468</v>
      </c>
    </row>
    <row r="141" spans="1:9" ht="13.5" thickTop="1">
      <c r="A141" s="11">
        <v>1</v>
      </c>
      <c r="B141" s="12" t="s">
        <v>469</v>
      </c>
      <c r="C141" s="13"/>
      <c r="D141" s="14"/>
      <c r="E141" s="14"/>
      <c r="F141" s="14"/>
      <c r="G141" s="16"/>
    </row>
    <row r="142" spans="1:9">
      <c r="A142" s="17"/>
      <c r="B142" s="18" t="s">
        <v>718</v>
      </c>
      <c r="C142" s="19" t="s">
        <v>18</v>
      </c>
      <c r="D142" s="373">
        <v>2000</v>
      </c>
      <c r="E142" s="21">
        <v>4.0399999999999998E-2</v>
      </c>
      <c r="F142" s="22">
        <f>+D142*E142</f>
        <v>80.8</v>
      </c>
      <c r="G142" s="23">
        <f>+F142*$G$138</f>
        <v>0</v>
      </c>
    </row>
    <row r="143" spans="1:9">
      <c r="A143" s="17">
        <v>2</v>
      </c>
      <c r="B143" s="24" t="s">
        <v>470</v>
      </c>
      <c r="C143" s="25"/>
      <c r="D143" s="20"/>
      <c r="E143" s="20"/>
      <c r="F143" s="22"/>
      <c r="G143" s="23"/>
    </row>
    <row r="144" spans="1:9">
      <c r="A144" s="17"/>
      <c r="B144" s="18" t="s">
        <v>472</v>
      </c>
      <c r="C144" s="19" t="s">
        <v>21</v>
      </c>
      <c r="D144" s="20">
        <v>2</v>
      </c>
      <c r="E144" s="21">
        <v>2.1800000000000002</v>
      </c>
      <c r="F144" s="22">
        <f>+D144*E144</f>
        <v>4.3600000000000003</v>
      </c>
      <c r="G144" s="23">
        <f t="shared" ref="G144:G155" si="10">+F144*$G$138</f>
        <v>0</v>
      </c>
    </row>
    <row r="145" spans="1:9">
      <c r="A145" s="17"/>
      <c r="B145" s="26" t="s">
        <v>474</v>
      </c>
      <c r="C145" s="19" t="s">
        <v>45</v>
      </c>
      <c r="D145" s="20">
        <v>0.1</v>
      </c>
      <c r="E145" s="21">
        <v>2.83</v>
      </c>
      <c r="F145" s="22">
        <f>+D145*E145</f>
        <v>0.28300000000000003</v>
      </c>
      <c r="G145" s="23">
        <f t="shared" si="10"/>
        <v>0</v>
      </c>
    </row>
    <row r="146" spans="1:9">
      <c r="A146" s="17">
        <v>3</v>
      </c>
      <c r="B146" s="24" t="s">
        <v>476</v>
      </c>
      <c r="C146" s="19" t="s">
        <v>303</v>
      </c>
      <c r="D146" s="20"/>
      <c r="E146" s="20"/>
      <c r="F146" s="22"/>
      <c r="G146" s="23"/>
    </row>
    <row r="147" spans="1:9">
      <c r="A147" s="17"/>
      <c r="B147" s="26" t="s">
        <v>210</v>
      </c>
      <c r="C147" s="19"/>
      <c r="D147" s="20">
        <v>2.5000000000000001E-2</v>
      </c>
      <c r="E147" s="28">
        <v>6.46</v>
      </c>
      <c r="F147" s="22">
        <f>+D147*E147</f>
        <v>0.1615</v>
      </c>
      <c r="G147" s="23">
        <f t="shared" si="10"/>
        <v>0</v>
      </c>
    </row>
    <row r="148" spans="1:9">
      <c r="A148" s="17"/>
      <c r="B148" s="26" t="s">
        <v>493</v>
      </c>
      <c r="C148" s="19"/>
      <c r="D148" s="20">
        <v>0.01</v>
      </c>
      <c r="E148" s="28">
        <v>103.35</v>
      </c>
      <c r="F148" s="22">
        <f>+D148*E148</f>
        <v>1.0334999999999999</v>
      </c>
      <c r="G148" s="23">
        <f t="shared" si="10"/>
        <v>0</v>
      </c>
    </row>
    <row r="149" spans="1:9">
      <c r="A149" s="17"/>
      <c r="B149" s="26" t="s">
        <v>213</v>
      </c>
      <c r="C149" s="19"/>
      <c r="D149" s="20">
        <v>6.0000000000000001E-3</v>
      </c>
      <c r="E149" s="28">
        <v>292.69</v>
      </c>
      <c r="F149" s="22">
        <f>+D149*E149</f>
        <v>1.75614</v>
      </c>
      <c r="G149" s="23">
        <f t="shared" si="10"/>
        <v>0</v>
      </c>
    </row>
    <row r="150" spans="1:9">
      <c r="A150" s="17"/>
      <c r="B150" s="26" t="s">
        <v>478</v>
      </c>
      <c r="C150" s="19"/>
      <c r="D150" s="20">
        <v>1</v>
      </c>
      <c r="E150" s="27">
        <v>2.83</v>
      </c>
      <c r="F150" s="22">
        <f>+D150*E150</f>
        <v>2.83</v>
      </c>
      <c r="G150" s="23">
        <f t="shared" si="10"/>
        <v>0</v>
      </c>
    </row>
    <row r="151" spans="1:9" ht="13.5" thickBot="1">
      <c r="A151" s="17">
        <v>4</v>
      </c>
      <c r="B151" s="24" t="s">
        <v>134</v>
      </c>
      <c r="C151" s="19" t="s">
        <v>303</v>
      </c>
      <c r="D151" s="20">
        <v>5</v>
      </c>
      <c r="E151" s="28">
        <v>1.17</v>
      </c>
      <c r="F151" s="22">
        <f>+D151*E151</f>
        <v>5.85</v>
      </c>
      <c r="G151" s="23">
        <f t="shared" si="10"/>
        <v>0</v>
      </c>
    </row>
    <row r="152" spans="1:9" ht="11.25" customHeight="1">
      <c r="A152" s="17">
        <v>5</v>
      </c>
      <c r="B152" s="24" t="s">
        <v>479</v>
      </c>
      <c r="C152" s="25"/>
      <c r="D152" s="20"/>
      <c r="E152" s="28"/>
      <c r="F152" s="22"/>
      <c r="G152" s="46"/>
      <c r="H152" s="505" t="s">
        <v>481</v>
      </c>
      <c r="I152" s="506"/>
    </row>
    <row r="153" spans="1:9">
      <c r="A153" s="17"/>
      <c r="B153" s="18" t="s">
        <v>480</v>
      </c>
      <c r="C153" s="19" t="s">
        <v>303</v>
      </c>
      <c r="D153" s="20">
        <v>3</v>
      </c>
      <c r="E153" s="28">
        <v>1.17</v>
      </c>
      <c r="F153" s="22">
        <f>+D153*E153</f>
        <v>3.51</v>
      </c>
      <c r="G153" s="46">
        <f t="shared" si="10"/>
        <v>0</v>
      </c>
      <c r="H153" s="507"/>
      <c r="I153" s="508"/>
    </row>
    <row r="154" spans="1:9" ht="13.5" thickBot="1">
      <c r="A154" s="17"/>
      <c r="B154" s="18" t="s">
        <v>494</v>
      </c>
      <c r="C154" s="19" t="s">
        <v>303</v>
      </c>
      <c r="D154" s="20">
        <v>1.5</v>
      </c>
      <c r="E154" s="28">
        <v>1.17</v>
      </c>
      <c r="F154" s="22">
        <f>+D154*E154</f>
        <v>1.7549999999999999</v>
      </c>
      <c r="G154" s="46">
        <f t="shared" si="10"/>
        <v>0</v>
      </c>
      <c r="H154" s="509">
        <v>2000</v>
      </c>
      <c r="I154" s="510"/>
    </row>
    <row r="155" spans="1:9" ht="12" customHeight="1" thickBot="1">
      <c r="A155" s="30"/>
      <c r="B155" s="31" t="s">
        <v>483</v>
      </c>
      <c r="C155" s="32" t="s">
        <v>54</v>
      </c>
      <c r="D155" s="39"/>
      <c r="E155" s="39"/>
      <c r="F155" s="33">
        <f>+D155*E155</f>
        <v>0</v>
      </c>
      <c r="G155" s="47">
        <f t="shared" si="10"/>
        <v>0</v>
      </c>
      <c r="H155" s="501" t="s">
        <v>484</v>
      </c>
      <c r="I155" s="502"/>
    </row>
    <row r="156" spans="1:9" ht="15.75" customHeight="1" thickBot="1">
      <c r="A156" s="44"/>
      <c r="B156" s="523" t="s">
        <v>30</v>
      </c>
      <c r="C156" s="515"/>
      <c r="D156" s="515"/>
      <c r="E156" s="524"/>
      <c r="F156" s="35">
        <f>SUM(F142:F155)</f>
        <v>102.33914</v>
      </c>
      <c r="G156" s="48">
        <f>SUM(G142:G155)</f>
        <v>0</v>
      </c>
      <c r="H156" s="503">
        <f>+F156/H154</f>
        <v>5.1169569999999998E-2</v>
      </c>
      <c r="I156" s="504"/>
    </row>
    <row r="157" spans="1:9" ht="13.5" thickBot="1">
      <c r="A157" s="348"/>
      <c r="B157" s="348"/>
      <c r="C157" s="348"/>
      <c r="D157" s="348"/>
    </row>
    <row r="158" spans="1:9" ht="13.5" thickBot="1">
      <c r="B158" s="2" t="s">
        <v>233</v>
      </c>
      <c r="F158" s="1" t="s">
        <v>530</v>
      </c>
      <c r="G158" s="4">
        <v>0</v>
      </c>
    </row>
    <row r="159" spans="1:9" ht="16.5" customHeight="1" thickBot="1">
      <c r="C159" s="5"/>
      <c r="D159" s="5"/>
      <c r="E159" s="5"/>
      <c r="F159" s="516" t="s">
        <v>531</v>
      </c>
      <c r="G159" s="516"/>
    </row>
    <row r="160" spans="1:9" ht="39" thickBot="1">
      <c r="A160" s="372" t="s">
        <v>716</v>
      </c>
      <c r="B160" s="7" t="s">
        <v>464</v>
      </c>
      <c r="C160" s="8" t="s">
        <v>4</v>
      </c>
      <c r="D160" s="8" t="s">
        <v>465</v>
      </c>
      <c r="E160" s="8" t="s">
        <v>466</v>
      </c>
      <c r="F160" s="9" t="s">
        <v>467</v>
      </c>
      <c r="G160" s="10" t="s">
        <v>468</v>
      </c>
    </row>
    <row r="161" spans="1:9" ht="13.5" thickTop="1">
      <c r="A161" s="11">
        <v>1</v>
      </c>
      <c r="B161" s="12" t="s">
        <v>469</v>
      </c>
      <c r="C161" s="13"/>
      <c r="D161" s="14"/>
      <c r="E161" s="14"/>
      <c r="F161" s="14"/>
      <c r="G161" s="16"/>
    </row>
    <row r="162" spans="1:9">
      <c r="A162" s="17"/>
      <c r="B162" s="18" t="s">
        <v>16</v>
      </c>
      <c r="C162" s="19" t="s">
        <v>18</v>
      </c>
      <c r="D162" s="20">
        <v>0.12</v>
      </c>
      <c r="E162" s="28">
        <v>24.22</v>
      </c>
      <c r="F162" s="22">
        <f>+D162*E162</f>
        <v>2.9063999999999997</v>
      </c>
      <c r="G162" s="23">
        <f>+F162*$G$158</f>
        <v>0</v>
      </c>
    </row>
    <row r="163" spans="1:9">
      <c r="A163" s="17">
        <v>2</v>
      </c>
      <c r="B163" s="24" t="s">
        <v>470</v>
      </c>
      <c r="C163" s="25"/>
      <c r="D163" s="20"/>
      <c r="E163" s="20"/>
      <c r="F163" s="22"/>
      <c r="G163" s="23"/>
    </row>
    <row r="164" spans="1:9">
      <c r="A164" s="17"/>
      <c r="B164" s="18" t="s">
        <v>472</v>
      </c>
      <c r="C164" s="19" t="s">
        <v>21</v>
      </c>
      <c r="D164" s="20">
        <v>2</v>
      </c>
      <c r="E164" s="21">
        <v>2.1800000000000002</v>
      </c>
      <c r="F164" s="22">
        <f>+D164*E164</f>
        <v>4.3600000000000003</v>
      </c>
      <c r="G164" s="23">
        <f t="shared" ref="G164:G174" si="11">+F164*$G$158</f>
        <v>0</v>
      </c>
    </row>
    <row r="165" spans="1:9">
      <c r="A165" s="17"/>
      <c r="B165" s="26" t="s">
        <v>474</v>
      </c>
      <c r="C165" s="19" t="s">
        <v>45</v>
      </c>
      <c r="D165" s="20">
        <v>0.1</v>
      </c>
      <c r="E165" s="21">
        <v>2.83</v>
      </c>
      <c r="F165" s="22">
        <f>+D165*E165</f>
        <v>0.28300000000000003</v>
      </c>
      <c r="G165" s="23">
        <f t="shared" si="11"/>
        <v>0</v>
      </c>
    </row>
    <row r="166" spans="1:9">
      <c r="A166" s="17"/>
      <c r="B166" s="24" t="s">
        <v>476</v>
      </c>
      <c r="C166" s="19" t="s">
        <v>303</v>
      </c>
      <c r="D166" s="20"/>
      <c r="E166" s="20"/>
      <c r="F166" s="22"/>
      <c r="G166" s="23"/>
    </row>
    <row r="167" spans="1:9">
      <c r="A167" s="17"/>
      <c r="B167" s="26" t="s">
        <v>210</v>
      </c>
      <c r="C167" s="19"/>
      <c r="D167" s="20">
        <v>2.5000000000000001E-2</v>
      </c>
      <c r="E167" s="28">
        <v>6.46</v>
      </c>
      <c r="F167" s="22">
        <f>+D167*E167</f>
        <v>0.1615</v>
      </c>
      <c r="G167" s="23">
        <f t="shared" si="11"/>
        <v>0</v>
      </c>
    </row>
    <row r="168" spans="1:9">
      <c r="A168" s="17"/>
      <c r="B168" s="26" t="s">
        <v>213</v>
      </c>
      <c r="C168" s="19"/>
      <c r="D168" s="20">
        <v>6.0000000000000001E-3</v>
      </c>
      <c r="E168" s="28">
        <v>292.69</v>
      </c>
      <c r="F168" s="22">
        <f>+D168*E168</f>
        <v>1.75614</v>
      </c>
      <c r="G168" s="23">
        <f t="shared" si="11"/>
        <v>0</v>
      </c>
    </row>
    <row r="169" spans="1:9">
      <c r="A169" s="17"/>
      <c r="B169" s="26" t="s">
        <v>478</v>
      </c>
      <c r="C169" s="19"/>
      <c r="D169" s="20">
        <v>1</v>
      </c>
      <c r="E169" s="27">
        <v>2.83</v>
      </c>
      <c r="F169" s="22">
        <f>+D169*E169</f>
        <v>2.83</v>
      </c>
      <c r="G169" s="23">
        <f t="shared" si="11"/>
        <v>0</v>
      </c>
    </row>
    <row r="170" spans="1:9" ht="13.5" thickBot="1">
      <c r="A170" s="17">
        <v>3</v>
      </c>
      <c r="B170" s="24" t="s">
        <v>134</v>
      </c>
      <c r="C170" s="19" t="s">
        <v>303</v>
      </c>
      <c r="D170" s="20">
        <v>5</v>
      </c>
      <c r="E170" s="28">
        <v>1.17</v>
      </c>
      <c r="F170" s="22">
        <f>+D170*E170</f>
        <v>5.85</v>
      </c>
      <c r="G170" s="23">
        <f t="shared" si="11"/>
        <v>0</v>
      </c>
    </row>
    <row r="171" spans="1:9" ht="11.25" customHeight="1">
      <c r="A171" s="17">
        <v>4</v>
      </c>
      <c r="B171" s="24" t="s">
        <v>479</v>
      </c>
      <c r="C171" s="25"/>
      <c r="D171" s="20"/>
      <c r="E171" s="28"/>
      <c r="F171" s="22"/>
      <c r="G171" s="23"/>
      <c r="H171" s="505" t="s">
        <v>495</v>
      </c>
      <c r="I171" s="506"/>
    </row>
    <row r="172" spans="1:9">
      <c r="A172" s="17"/>
      <c r="B172" s="18" t="s">
        <v>480</v>
      </c>
      <c r="C172" s="19" t="s">
        <v>303</v>
      </c>
      <c r="D172" s="20">
        <v>3</v>
      </c>
      <c r="E172" s="28">
        <v>1.17</v>
      </c>
      <c r="F172" s="22">
        <f>+D172*E172</f>
        <v>3.51</v>
      </c>
      <c r="G172" s="23">
        <f t="shared" si="11"/>
        <v>0</v>
      </c>
      <c r="H172" s="507"/>
      <c r="I172" s="508"/>
    </row>
    <row r="173" spans="1:9" ht="13.5" thickBot="1">
      <c r="A173" s="17"/>
      <c r="B173" s="18" t="s">
        <v>496</v>
      </c>
      <c r="C173" s="19" t="s">
        <v>303</v>
      </c>
      <c r="D173" s="20">
        <v>1</v>
      </c>
      <c r="E173" s="28">
        <v>1.17</v>
      </c>
      <c r="F173" s="22">
        <f>+D173*E173</f>
        <v>1.17</v>
      </c>
      <c r="G173" s="23">
        <f t="shared" si="11"/>
        <v>0</v>
      </c>
      <c r="H173" s="509">
        <v>375</v>
      </c>
      <c r="I173" s="510"/>
    </row>
    <row r="174" spans="1:9" ht="13.5" thickBot="1">
      <c r="A174" s="30"/>
      <c r="B174" s="31" t="s">
        <v>483</v>
      </c>
      <c r="C174" s="32" t="s">
        <v>54</v>
      </c>
      <c r="D174" s="39"/>
      <c r="E174" s="39"/>
      <c r="F174" s="33">
        <f>+D174*E174</f>
        <v>0</v>
      </c>
      <c r="G174" s="34">
        <f t="shared" si="11"/>
        <v>0</v>
      </c>
      <c r="H174" s="501" t="s">
        <v>497</v>
      </c>
      <c r="I174" s="502"/>
    </row>
    <row r="175" spans="1:9" ht="15.75" customHeight="1" thickBot="1">
      <c r="A175" s="44"/>
      <c r="B175" s="523" t="s">
        <v>30</v>
      </c>
      <c r="C175" s="515"/>
      <c r="D175" s="515"/>
      <c r="E175" s="524"/>
      <c r="F175" s="35">
        <f>SUM(F162:F174)</f>
        <v>22.827040000000004</v>
      </c>
      <c r="G175" s="36">
        <f>SUM(G162:G174)</f>
        <v>0</v>
      </c>
      <c r="H175" s="503">
        <f>+F175/H173</f>
        <v>6.0872106666666675E-2</v>
      </c>
      <c r="I175" s="504"/>
    </row>
    <row r="176" spans="1:9" ht="13.5" thickBot="1"/>
    <row r="177" spans="1:9" ht="13.5" thickBot="1">
      <c r="B177" s="2" t="s">
        <v>529</v>
      </c>
      <c r="F177" s="1" t="s">
        <v>530</v>
      </c>
      <c r="G177" s="4">
        <v>0</v>
      </c>
    </row>
    <row r="178" spans="1:9" ht="16.5" customHeight="1" thickBot="1">
      <c r="F178" s="516" t="s">
        <v>531</v>
      </c>
      <c r="G178" s="516"/>
      <c r="H178" s="49"/>
    </row>
    <row r="179" spans="1:9" ht="52.5" customHeight="1" thickBot="1">
      <c r="A179" s="372" t="s">
        <v>716</v>
      </c>
      <c r="B179" s="7" t="s">
        <v>464</v>
      </c>
      <c r="C179" s="8" t="s">
        <v>4</v>
      </c>
      <c r="D179" s="8" t="s">
        <v>465</v>
      </c>
      <c r="E179" s="8" t="s">
        <v>466</v>
      </c>
      <c r="F179" s="9" t="s">
        <v>467</v>
      </c>
      <c r="G179" s="10" t="s">
        <v>468</v>
      </c>
    </row>
    <row r="180" spans="1:9" ht="13.5" thickTop="1">
      <c r="A180" s="11">
        <v>1</v>
      </c>
      <c r="B180" s="12" t="s">
        <v>469</v>
      </c>
      <c r="C180" s="13"/>
      <c r="D180" s="14"/>
      <c r="E180" s="14"/>
      <c r="F180" s="14"/>
      <c r="G180" s="16"/>
    </row>
    <row r="181" spans="1:9">
      <c r="A181" s="17"/>
      <c r="B181" s="18" t="s">
        <v>16</v>
      </c>
      <c r="C181" s="19" t="s">
        <v>18</v>
      </c>
      <c r="D181" s="20">
        <v>6</v>
      </c>
      <c r="E181" s="347">
        <v>1.61</v>
      </c>
      <c r="F181" s="22">
        <f>+D181*E181</f>
        <v>9.66</v>
      </c>
      <c r="G181" s="23">
        <f>+F181*$G$177</f>
        <v>0</v>
      </c>
    </row>
    <row r="182" spans="1:9">
      <c r="A182" s="17">
        <v>2</v>
      </c>
      <c r="B182" s="24" t="s">
        <v>470</v>
      </c>
      <c r="C182" s="25"/>
      <c r="D182" s="20"/>
      <c r="E182" s="20"/>
      <c r="F182" s="22"/>
      <c r="G182" s="23"/>
    </row>
    <row r="183" spans="1:9">
      <c r="A183" s="17"/>
      <c r="B183" s="18" t="s">
        <v>472</v>
      </c>
      <c r="C183" s="19" t="s">
        <v>21</v>
      </c>
      <c r="D183" s="20">
        <v>2</v>
      </c>
      <c r="E183" s="21">
        <v>2.1800000000000002</v>
      </c>
      <c r="F183" s="22">
        <f>+D183*E183</f>
        <v>4.3600000000000003</v>
      </c>
      <c r="G183" s="23">
        <f t="shared" ref="G183:G193" si="12">+F183*$G$177</f>
        <v>0</v>
      </c>
    </row>
    <row r="184" spans="1:9">
      <c r="A184" s="17"/>
      <c r="B184" s="26" t="s">
        <v>474</v>
      </c>
      <c r="C184" s="19" t="s">
        <v>45</v>
      </c>
      <c r="D184" s="20">
        <v>0.1</v>
      </c>
      <c r="E184" s="21">
        <v>2.83</v>
      </c>
      <c r="F184" s="22">
        <f>+D184*E184</f>
        <v>0.28300000000000003</v>
      </c>
      <c r="G184" s="23">
        <f t="shared" si="12"/>
        <v>0</v>
      </c>
    </row>
    <row r="185" spans="1:9">
      <c r="A185" s="17"/>
      <c r="B185" s="24" t="s">
        <v>476</v>
      </c>
      <c r="C185" s="19" t="s">
        <v>303</v>
      </c>
      <c r="D185" s="20"/>
      <c r="E185" s="20"/>
      <c r="F185" s="22"/>
      <c r="G185" s="23"/>
    </row>
    <row r="186" spans="1:9">
      <c r="A186" s="17"/>
      <c r="B186" s="26" t="s">
        <v>210</v>
      </c>
      <c r="C186" s="19"/>
      <c r="D186" s="20">
        <v>2.5000000000000001E-2</v>
      </c>
      <c r="E186" s="28">
        <v>6.46</v>
      </c>
      <c r="F186" s="22">
        <f>+D186*E186</f>
        <v>0.1615</v>
      </c>
      <c r="G186" s="23">
        <f t="shared" si="12"/>
        <v>0</v>
      </c>
    </row>
    <row r="187" spans="1:9">
      <c r="A187" s="17"/>
      <c r="B187" s="26" t="s">
        <v>498</v>
      </c>
      <c r="C187" s="19"/>
      <c r="D187" s="20">
        <v>1.2E-2</v>
      </c>
      <c r="E187" s="28">
        <v>292.69</v>
      </c>
      <c r="F187" s="22">
        <f>+D187*E187</f>
        <v>3.5122800000000001</v>
      </c>
      <c r="G187" s="23">
        <f t="shared" si="12"/>
        <v>0</v>
      </c>
    </row>
    <row r="188" spans="1:9">
      <c r="A188" s="17"/>
      <c r="B188" s="26" t="s">
        <v>478</v>
      </c>
      <c r="C188" s="19"/>
      <c r="D188" s="20">
        <v>1</v>
      </c>
      <c r="E188" s="27">
        <v>2.83</v>
      </c>
      <c r="F188" s="22">
        <f>+D188*E188</f>
        <v>2.83</v>
      </c>
      <c r="G188" s="23">
        <f t="shared" si="12"/>
        <v>0</v>
      </c>
    </row>
    <row r="189" spans="1:9" ht="11.25" customHeight="1" thickBot="1">
      <c r="A189" s="17">
        <v>3</v>
      </c>
      <c r="B189" s="350" t="s">
        <v>134</v>
      </c>
      <c r="C189" s="101" t="s">
        <v>303</v>
      </c>
      <c r="D189" s="351">
        <v>5</v>
      </c>
      <c r="E189" s="99">
        <v>1.17</v>
      </c>
      <c r="F189" s="102">
        <f>+D189*E189</f>
        <v>5.85</v>
      </c>
      <c r="G189" s="352">
        <f t="shared" si="12"/>
        <v>0</v>
      </c>
    </row>
    <row r="190" spans="1:9" ht="11.25" customHeight="1">
      <c r="A190" s="17">
        <v>4</v>
      </c>
      <c r="B190" s="24" t="s">
        <v>479</v>
      </c>
      <c r="C190" s="25"/>
      <c r="D190" s="20"/>
      <c r="E190" s="20"/>
      <c r="F190" s="22"/>
      <c r="G190" s="23"/>
      <c r="H190" s="505" t="s">
        <v>481</v>
      </c>
      <c r="I190" s="506"/>
    </row>
    <row r="191" spans="1:9">
      <c r="A191" s="17"/>
      <c r="B191" s="18" t="s">
        <v>480</v>
      </c>
      <c r="C191" s="19" t="s">
        <v>303</v>
      </c>
      <c r="D191" s="20">
        <v>3</v>
      </c>
      <c r="E191" s="28">
        <v>1.17</v>
      </c>
      <c r="F191" s="22">
        <f>+D191*E191</f>
        <v>3.51</v>
      </c>
      <c r="G191" s="23">
        <f>+F191*$G$177</f>
        <v>0</v>
      </c>
      <c r="H191" s="507"/>
      <c r="I191" s="508"/>
    </row>
    <row r="192" spans="1:9" ht="13.5" thickBot="1">
      <c r="A192" s="17"/>
      <c r="B192" s="18" t="s">
        <v>494</v>
      </c>
      <c r="C192" s="19" t="s">
        <v>303</v>
      </c>
      <c r="D192" s="20">
        <v>1.5</v>
      </c>
      <c r="E192" s="28">
        <v>1.17</v>
      </c>
      <c r="F192" s="22">
        <f>+D192*E192</f>
        <v>1.7549999999999999</v>
      </c>
      <c r="G192" s="23">
        <f t="shared" si="12"/>
        <v>0</v>
      </c>
      <c r="H192" s="509">
        <v>7200</v>
      </c>
      <c r="I192" s="510"/>
    </row>
    <row r="193" spans="1:9" ht="13.5" thickBot="1">
      <c r="A193" s="30"/>
      <c r="B193" s="31" t="s">
        <v>483</v>
      </c>
      <c r="C193" s="32" t="s">
        <v>54</v>
      </c>
      <c r="D193" s="39"/>
      <c r="E193" s="39"/>
      <c r="F193" s="33">
        <f>+D193*E193</f>
        <v>0</v>
      </c>
      <c r="G193" s="34">
        <f t="shared" si="12"/>
        <v>0</v>
      </c>
      <c r="H193" s="501" t="s">
        <v>484</v>
      </c>
      <c r="I193" s="502"/>
    </row>
    <row r="194" spans="1:9" ht="15.75" customHeight="1" thickBot="1">
      <c r="A194" s="44"/>
      <c r="B194" s="523" t="s">
        <v>30</v>
      </c>
      <c r="C194" s="515"/>
      <c r="D194" s="515"/>
      <c r="E194" s="524"/>
      <c r="F194" s="35">
        <f>SUM(F181:F193)</f>
        <v>31.921779999999995</v>
      </c>
      <c r="G194" s="36">
        <f>SUM(G181:G193)</f>
        <v>0</v>
      </c>
      <c r="H194" s="503">
        <f>+F194/H192</f>
        <v>4.433580555555555E-3</v>
      </c>
      <c r="I194" s="504"/>
    </row>
    <row r="195" spans="1:9" ht="13.5" thickBot="1"/>
    <row r="196" spans="1:9" ht="15.75" customHeight="1" thickBot="1">
      <c r="A196" s="517" t="s">
        <v>499</v>
      </c>
      <c r="B196" s="518"/>
      <c r="C196" s="518"/>
      <c r="D196" s="518"/>
      <c r="E196" s="518"/>
      <c r="F196" s="518"/>
      <c r="G196" s="518"/>
      <c r="H196" s="518"/>
      <c r="I196" s="519"/>
    </row>
    <row r="197" spans="1:9" ht="26.25" thickBot="1">
      <c r="A197" s="372" t="s">
        <v>716</v>
      </c>
      <c r="B197" s="7" t="s">
        <v>464</v>
      </c>
      <c r="C197" s="50" t="s">
        <v>500</v>
      </c>
      <c r="D197" s="51" t="s">
        <v>501</v>
      </c>
      <c r="E197" s="52" t="s">
        <v>502</v>
      </c>
    </row>
    <row r="198" spans="1:9" ht="13.5" thickTop="1">
      <c r="A198" s="11">
        <v>1</v>
      </c>
      <c r="B198" s="53" t="s">
        <v>503</v>
      </c>
      <c r="C198" s="54"/>
      <c r="D198" s="54"/>
      <c r="E198" s="55"/>
    </row>
    <row r="199" spans="1:9">
      <c r="A199" s="17"/>
      <c r="B199" s="56" t="s">
        <v>504</v>
      </c>
      <c r="C199" s="57">
        <v>10</v>
      </c>
      <c r="D199" s="28">
        <v>1.17</v>
      </c>
      <c r="E199" s="58">
        <f>+C199*D199</f>
        <v>11.7</v>
      </c>
    </row>
    <row r="200" spans="1:9">
      <c r="A200" s="17"/>
      <c r="B200" s="56" t="s">
        <v>505</v>
      </c>
      <c r="C200" s="57">
        <v>1</v>
      </c>
      <c r="D200" s="28">
        <v>1.17</v>
      </c>
      <c r="E200" s="58">
        <f>+C200*D200</f>
        <v>1.17</v>
      </c>
    </row>
    <row r="201" spans="1:9">
      <c r="A201" s="17"/>
      <c r="B201" s="56" t="s">
        <v>506</v>
      </c>
      <c r="C201" s="57"/>
      <c r="D201" s="57"/>
      <c r="E201" s="58"/>
    </row>
    <row r="202" spans="1:9">
      <c r="A202" s="17"/>
      <c r="B202" s="56" t="s">
        <v>507</v>
      </c>
      <c r="C202" s="57">
        <f>0.003*100</f>
        <v>0.3</v>
      </c>
      <c r="D202" s="59">
        <v>6.46</v>
      </c>
      <c r="E202" s="58">
        <f>+C202*D202</f>
        <v>1.9379999999999999</v>
      </c>
    </row>
    <row r="203" spans="1:9">
      <c r="A203" s="17"/>
      <c r="B203" s="56" t="s">
        <v>508</v>
      </c>
      <c r="C203" s="57">
        <f>0.003*100</f>
        <v>0.3</v>
      </c>
      <c r="D203" s="27">
        <v>2.83</v>
      </c>
      <c r="E203" s="58">
        <f>+C203*D203</f>
        <v>0.84899999999999998</v>
      </c>
    </row>
    <row r="204" spans="1:9" ht="12.75" customHeight="1">
      <c r="A204" s="17">
        <v>2</v>
      </c>
      <c r="B204" s="60" t="s">
        <v>509</v>
      </c>
      <c r="C204" s="359"/>
      <c r="D204" s="63"/>
      <c r="E204" s="366"/>
      <c r="F204" s="499" t="s">
        <v>510</v>
      </c>
      <c r="G204" s="499"/>
      <c r="H204" s="499"/>
      <c r="I204" s="499"/>
    </row>
    <row r="205" spans="1:9" ht="12.75" customHeight="1">
      <c r="A205" s="17"/>
      <c r="B205" s="56" t="s">
        <v>16</v>
      </c>
      <c r="C205" s="61">
        <v>0.8</v>
      </c>
      <c r="D205" s="62">
        <v>3000</v>
      </c>
      <c r="E205" s="367">
        <f>+C205*D205</f>
        <v>2400</v>
      </c>
      <c r="F205" s="499"/>
      <c r="G205" s="499"/>
      <c r="H205" s="499"/>
      <c r="I205" s="499"/>
    </row>
    <row r="206" spans="1:9" ht="12.75" customHeight="1">
      <c r="A206" s="17">
        <v>3</v>
      </c>
      <c r="B206" s="60" t="s">
        <v>511</v>
      </c>
      <c r="C206" s="57">
        <v>1</v>
      </c>
      <c r="D206" s="349">
        <v>55.56</v>
      </c>
      <c r="E206" s="368">
        <f>+C206*D206</f>
        <v>55.56</v>
      </c>
      <c r="F206" s="499"/>
      <c r="G206" s="499"/>
      <c r="H206" s="499"/>
      <c r="I206" s="499"/>
    </row>
    <row r="207" spans="1:9" ht="11.25" customHeight="1">
      <c r="A207" s="17">
        <v>4</v>
      </c>
      <c r="B207" s="60" t="s">
        <v>512</v>
      </c>
      <c r="C207" s="57">
        <v>100</v>
      </c>
      <c r="D207" s="194">
        <v>0.16</v>
      </c>
      <c r="E207" s="368">
        <f>+C207*D207</f>
        <v>16</v>
      </c>
      <c r="F207" s="499" t="s">
        <v>513</v>
      </c>
      <c r="G207" s="499"/>
      <c r="H207" s="499"/>
      <c r="I207" s="499"/>
    </row>
    <row r="208" spans="1:9" ht="12.75" customHeight="1">
      <c r="A208" s="17">
        <v>5</v>
      </c>
      <c r="B208" s="60" t="s">
        <v>514</v>
      </c>
      <c r="C208" s="57"/>
      <c r="D208" s="57"/>
      <c r="E208" s="368"/>
      <c r="F208" s="499"/>
      <c r="G208" s="499"/>
      <c r="H208" s="499"/>
      <c r="I208" s="499"/>
    </row>
    <row r="209" spans="1:9" ht="12.75" customHeight="1">
      <c r="A209" s="17"/>
      <c r="B209" s="56" t="s">
        <v>516</v>
      </c>
      <c r="C209" s="57">
        <v>10</v>
      </c>
      <c r="D209" s="28">
        <v>1.17</v>
      </c>
      <c r="E209" s="368">
        <f>+C209*D209</f>
        <v>11.7</v>
      </c>
      <c r="F209" s="500" t="s">
        <v>515</v>
      </c>
      <c r="G209" s="500"/>
      <c r="H209" s="500"/>
      <c r="I209" s="500"/>
    </row>
    <row r="210" spans="1:9" ht="12.75" customHeight="1">
      <c r="A210" s="17"/>
      <c r="B210" s="26" t="s">
        <v>478</v>
      </c>
      <c r="C210" s="57">
        <v>1</v>
      </c>
      <c r="D210" s="27">
        <v>2.83</v>
      </c>
      <c r="E210" s="368">
        <f>+C210*D210</f>
        <v>2.83</v>
      </c>
      <c r="F210" s="499" t="s">
        <v>712</v>
      </c>
      <c r="G210" s="499"/>
      <c r="H210" s="499"/>
      <c r="I210" s="499"/>
    </row>
    <row r="211" spans="1:9" ht="11.25" customHeight="1">
      <c r="A211" s="17"/>
      <c r="B211" s="26" t="s">
        <v>517</v>
      </c>
      <c r="C211" s="57">
        <v>0.05</v>
      </c>
      <c r="D211" s="57">
        <v>75.819999999999993</v>
      </c>
      <c r="E211" s="368">
        <f>+C211*D211</f>
        <v>3.7909999999999999</v>
      </c>
      <c r="F211" s="499"/>
      <c r="G211" s="499"/>
      <c r="H211" s="499"/>
      <c r="I211" s="499"/>
    </row>
    <row r="212" spans="1:9">
      <c r="A212" s="17"/>
      <c r="B212" s="56" t="s">
        <v>259</v>
      </c>
      <c r="C212" s="64">
        <v>2.5000000000000001E-2</v>
      </c>
      <c r="D212" s="57">
        <v>6.46</v>
      </c>
      <c r="E212" s="368">
        <f>+C212*D212</f>
        <v>0.1615</v>
      </c>
      <c r="F212" s="499"/>
      <c r="G212" s="499"/>
      <c r="H212" s="499"/>
      <c r="I212" s="499"/>
    </row>
    <row r="213" spans="1:9">
      <c r="A213" s="17"/>
      <c r="B213" s="56" t="s">
        <v>518</v>
      </c>
      <c r="C213" s="64">
        <v>0.03</v>
      </c>
      <c r="D213" s="28">
        <v>292.69</v>
      </c>
      <c r="E213" s="58">
        <f>+C213*D213</f>
        <v>8.7806999999999995</v>
      </c>
      <c r="F213" s="365"/>
      <c r="G213" s="73"/>
      <c r="H213" s="73"/>
      <c r="I213" s="73"/>
    </row>
    <row r="214" spans="1:9">
      <c r="A214" s="17">
        <v>6</v>
      </c>
      <c r="B214" s="60" t="s">
        <v>519</v>
      </c>
      <c r="C214" s="57"/>
      <c r="D214" s="57"/>
      <c r="E214" s="58"/>
    </row>
    <row r="215" spans="1:9" ht="13.5" thickBot="1">
      <c r="A215" s="30"/>
      <c r="B215" s="65" t="s">
        <v>520</v>
      </c>
      <c r="C215" s="66">
        <v>0.1</v>
      </c>
      <c r="D215" s="67">
        <v>2.83</v>
      </c>
      <c r="E215" s="68">
        <f>+D215*C215</f>
        <v>0.28300000000000003</v>
      </c>
    </row>
    <row r="216" spans="1:9" ht="13.5" thickBot="1">
      <c r="A216" s="69"/>
      <c r="B216" s="511" t="s">
        <v>485</v>
      </c>
      <c r="C216" s="512"/>
      <c r="D216" s="513"/>
      <c r="E216" s="70">
        <f>SUM(E199:E215)</f>
        <v>2514.7631999999999</v>
      </c>
    </row>
    <row r="217" spans="1:9" ht="13.5" thickBot="1">
      <c r="A217" s="44"/>
      <c r="B217" s="511" t="s">
        <v>521</v>
      </c>
      <c r="C217" s="512"/>
      <c r="D217" s="513"/>
      <c r="E217" s="371">
        <f>E216/80000</f>
        <v>3.1434539999999997E-2</v>
      </c>
    </row>
    <row r="218" spans="1:9" ht="13.5" thickBot="1"/>
    <row r="219" spans="1:9" ht="15.75" customHeight="1" thickBot="1">
      <c r="A219" s="517" t="s">
        <v>651</v>
      </c>
      <c r="B219" s="518"/>
      <c r="C219" s="518"/>
      <c r="D219" s="518"/>
      <c r="E219" s="518"/>
      <c r="F219" s="518"/>
      <c r="G219" s="518"/>
      <c r="H219" s="518"/>
      <c r="I219" s="519"/>
    </row>
    <row r="220" spans="1:9" ht="26.25" thickBot="1">
      <c r="A220" s="372" t="s">
        <v>716</v>
      </c>
      <c r="B220" s="7" t="s">
        <v>464</v>
      </c>
      <c r="C220" s="50" t="s">
        <v>500</v>
      </c>
      <c r="D220" s="51" t="s">
        <v>501</v>
      </c>
      <c r="E220" s="52" t="s">
        <v>502</v>
      </c>
    </row>
    <row r="221" spans="1:9" ht="12.75" customHeight="1" thickTop="1">
      <c r="A221" s="11">
        <v>1</v>
      </c>
      <c r="B221" s="53" t="s">
        <v>522</v>
      </c>
      <c r="C221" s="71"/>
      <c r="D221" s="71"/>
      <c r="E221" s="72"/>
      <c r="H221" s="73"/>
      <c r="I221" s="73"/>
    </row>
    <row r="222" spans="1:9">
      <c r="A222" s="17"/>
      <c r="B222" s="56" t="s">
        <v>505</v>
      </c>
      <c r="C222" s="57">
        <v>1</v>
      </c>
      <c r="D222" s="28">
        <v>1.17</v>
      </c>
      <c r="E222" s="74">
        <f>+C222*D222</f>
        <v>1.17</v>
      </c>
      <c r="H222" s="73"/>
      <c r="I222" s="73"/>
    </row>
    <row r="223" spans="1:9" ht="12.75" customHeight="1">
      <c r="A223" s="17"/>
      <c r="B223" s="56" t="s">
        <v>713</v>
      </c>
      <c r="C223" s="59">
        <v>1041</v>
      </c>
      <c r="D223" s="63">
        <v>0.08</v>
      </c>
      <c r="E223" s="74">
        <f>+C223*D223</f>
        <v>83.28</v>
      </c>
      <c r="H223" s="73"/>
      <c r="I223" s="73"/>
    </row>
    <row r="224" spans="1:9" ht="15" customHeight="1">
      <c r="A224" s="17">
        <v>2</v>
      </c>
      <c r="B224" s="60" t="s">
        <v>523</v>
      </c>
      <c r="C224" s="59"/>
      <c r="D224" s="59"/>
      <c r="E224" s="369"/>
      <c r="F224" s="498" t="s">
        <v>714</v>
      </c>
      <c r="G224" s="498"/>
      <c r="H224" s="498"/>
      <c r="I224" s="498"/>
    </row>
    <row r="225" spans="1:9" ht="12.75" customHeight="1">
      <c r="A225" s="17"/>
      <c r="B225" s="56" t="s">
        <v>16</v>
      </c>
      <c r="C225" s="62">
        <v>0.09</v>
      </c>
      <c r="D225" s="62">
        <v>3000</v>
      </c>
      <c r="E225" s="370">
        <f>+C225*D225</f>
        <v>270</v>
      </c>
      <c r="F225" s="498"/>
      <c r="G225" s="498"/>
      <c r="H225" s="498"/>
      <c r="I225" s="498"/>
    </row>
    <row r="226" spans="1:9">
      <c r="A226" s="17"/>
      <c r="B226" s="56" t="s">
        <v>524</v>
      </c>
      <c r="C226" s="59">
        <v>5000</v>
      </c>
      <c r="D226" s="63">
        <f>3/80</f>
        <v>3.7499999999999999E-2</v>
      </c>
      <c r="E226" s="369">
        <f>+C226*D226</f>
        <v>187.5</v>
      </c>
      <c r="F226" s="498"/>
      <c r="G226" s="498"/>
      <c r="H226" s="498"/>
      <c r="I226" s="498"/>
    </row>
    <row r="227" spans="1:9" ht="15" customHeight="1">
      <c r="A227" s="17">
        <v>3</v>
      </c>
      <c r="B227" s="60" t="s">
        <v>525</v>
      </c>
      <c r="C227" s="59">
        <v>20</v>
      </c>
      <c r="D227" s="28">
        <v>1.17</v>
      </c>
      <c r="E227" s="369">
        <f>+C227*D227</f>
        <v>23.4</v>
      </c>
      <c r="F227" s="499" t="s">
        <v>715</v>
      </c>
      <c r="G227" s="499"/>
      <c r="H227" s="499"/>
      <c r="I227" s="499"/>
    </row>
    <row r="228" spans="1:9">
      <c r="A228" s="17">
        <v>4</v>
      </c>
      <c r="B228" s="60" t="s">
        <v>512</v>
      </c>
      <c r="C228" s="59">
        <v>100</v>
      </c>
      <c r="D228" s="194">
        <v>0.16</v>
      </c>
      <c r="E228" s="369">
        <f>+C228*D228</f>
        <v>16</v>
      </c>
      <c r="F228" s="499"/>
      <c r="G228" s="499"/>
      <c r="H228" s="499"/>
      <c r="I228" s="499"/>
    </row>
    <row r="229" spans="1:9" ht="12.75" customHeight="1">
      <c r="A229" s="17">
        <v>5</v>
      </c>
      <c r="B229" s="60" t="s">
        <v>514</v>
      </c>
      <c r="C229" s="59"/>
      <c r="D229" s="59"/>
      <c r="E229" s="369"/>
      <c r="F229" s="499"/>
      <c r="G229" s="499"/>
      <c r="H229" s="499"/>
      <c r="I229" s="499"/>
    </row>
    <row r="230" spans="1:9" ht="12.75" customHeight="1">
      <c r="A230" s="17"/>
      <c r="B230" s="56" t="s">
        <v>516</v>
      </c>
      <c r="C230" s="59">
        <v>20</v>
      </c>
      <c r="D230" s="28">
        <v>1.17</v>
      </c>
      <c r="E230" s="369">
        <f>+C230*D230</f>
        <v>23.4</v>
      </c>
      <c r="F230" s="499"/>
      <c r="G230" s="499"/>
      <c r="H230" s="499"/>
      <c r="I230" s="499"/>
    </row>
    <row r="231" spans="1:9">
      <c r="A231" s="17"/>
      <c r="B231" s="26" t="s">
        <v>478</v>
      </c>
      <c r="C231" s="59">
        <v>1</v>
      </c>
      <c r="D231" s="27">
        <v>2.83</v>
      </c>
      <c r="E231" s="369">
        <f>+C231*D231</f>
        <v>2.83</v>
      </c>
      <c r="F231" s="499"/>
      <c r="G231" s="499"/>
      <c r="H231" s="499"/>
      <c r="I231" s="499"/>
    </row>
    <row r="232" spans="1:9">
      <c r="A232" s="17"/>
      <c r="B232" s="26" t="s">
        <v>517</v>
      </c>
      <c r="C232" s="59">
        <v>0.05</v>
      </c>
      <c r="D232" s="59">
        <v>75.819999999999993</v>
      </c>
      <c r="E232" s="74">
        <f>+C232*D232</f>
        <v>3.7909999999999999</v>
      </c>
      <c r="F232" s="365"/>
      <c r="G232" s="73"/>
      <c r="H232" s="73"/>
      <c r="I232" s="73"/>
    </row>
    <row r="233" spans="1:9">
      <c r="A233" s="17"/>
      <c r="B233" s="56" t="s">
        <v>259</v>
      </c>
      <c r="C233" s="64">
        <v>2.5000000000000001E-2</v>
      </c>
      <c r="D233" s="59">
        <v>6.46</v>
      </c>
      <c r="E233" s="74">
        <f>+C233*D233</f>
        <v>0.1615</v>
      </c>
      <c r="F233" s="365"/>
      <c r="G233" s="73"/>
      <c r="H233" s="73"/>
      <c r="I233" s="73"/>
    </row>
    <row r="234" spans="1:9" ht="13.5" thickBot="1">
      <c r="A234" s="30"/>
      <c r="B234" s="75" t="s">
        <v>518</v>
      </c>
      <c r="C234" s="76">
        <v>0.03</v>
      </c>
      <c r="D234" s="77">
        <v>292.69</v>
      </c>
      <c r="E234" s="78">
        <f>+C234*D234</f>
        <v>8.7806999999999995</v>
      </c>
      <c r="F234" s="73"/>
      <c r="G234" s="73"/>
      <c r="H234" s="73"/>
      <c r="I234" s="73"/>
    </row>
    <row r="235" spans="1:9" ht="13.5" thickBot="1">
      <c r="A235" s="69"/>
      <c r="B235" s="520" t="s">
        <v>485</v>
      </c>
      <c r="C235" s="521"/>
      <c r="D235" s="522"/>
      <c r="E235" s="79">
        <f>SUM(E222:E234)</f>
        <v>620.31320000000017</v>
      </c>
      <c r="G235" s="73"/>
      <c r="H235" s="73"/>
      <c r="I235" s="73"/>
    </row>
    <row r="236" spans="1:9" ht="13.5" thickBot="1">
      <c r="A236" s="44"/>
      <c r="B236" s="511" t="s">
        <v>521</v>
      </c>
      <c r="C236" s="512"/>
      <c r="D236" s="513"/>
      <c r="E236" s="80">
        <f>+E235/5000</f>
        <v>0.12406264000000003</v>
      </c>
    </row>
  </sheetData>
  <mergeCells count="62">
    <mergeCell ref="F81:G81"/>
    <mergeCell ref="F27:G27"/>
    <mergeCell ref="B175:E175"/>
    <mergeCell ref="B108:E108"/>
    <mergeCell ref="F110:G110"/>
    <mergeCell ref="B137:E137"/>
    <mergeCell ref="F139:G139"/>
    <mergeCell ref="B136:E136"/>
    <mergeCell ref="B236:D236"/>
    <mergeCell ref="A24:E24"/>
    <mergeCell ref="A51:E51"/>
    <mergeCell ref="F2:G2"/>
    <mergeCell ref="A196:I196"/>
    <mergeCell ref="A219:I219"/>
    <mergeCell ref="A78:E78"/>
    <mergeCell ref="A107:E107"/>
    <mergeCell ref="F178:G178"/>
    <mergeCell ref="B216:D216"/>
    <mergeCell ref="B217:D217"/>
    <mergeCell ref="B235:D235"/>
    <mergeCell ref="B194:E194"/>
    <mergeCell ref="F159:G159"/>
    <mergeCell ref="B156:E156"/>
    <mergeCell ref="F54:G54"/>
    <mergeCell ref="H105:I105"/>
    <mergeCell ref="H103:I104"/>
    <mergeCell ref="H78:I78"/>
    <mergeCell ref="H77:I77"/>
    <mergeCell ref="H192:I192"/>
    <mergeCell ref="H152:I153"/>
    <mergeCell ref="H154:I154"/>
    <mergeCell ref="H156:I156"/>
    <mergeCell ref="H155:I155"/>
    <mergeCell ref="H107:I107"/>
    <mergeCell ref="H106:I106"/>
    <mergeCell ref="H20:I21"/>
    <mergeCell ref="H76:I76"/>
    <mergeCell ref="H74:I75"/>
    <mergeCell ref="H47:I48"/>
    <mergeCell ref="H49:I49"/>
    <mergeCell ref="H50:I50"/>
    <mergeCell ref="H51:I51"/>
    <mergeCell ref="H24:I24"/>
    <mergeCell ref="H23:I23"/>
    <mergeCell ref="H22:I22"/>
    <mergeCell ref="H193:I193"/>
    <mergeCell ref="H194:I194"/>
    <mergeCell ref="H132:I133"/>
    <mergeCell ref="H134:I134"/>
    <mergeCell ref="H135:I135"/>
    <mergeCell ref="H136:I136"/>
    <mergeCell ref="H171:I172"/>
    <mergeCell ref="H173:I173"/>
    <mergeCell ref="H174:I174"/>
    <mergeCell ref="H175:I175"/>
    <mergeCell ref="H190:I191"/>
    <mergeCell ref="F224:I226"/>
    <mergeCell ref="F227:I231"/>
    <mergeCell ref="F204:I206"/>
    <mergeCell ref="F207:I208"/>
    <mergeCell ref="F210:I212"/>
    <mergeCell ref="F209:I209"/>
  </mergeCells>
  <pageMargins left="0.7" right="0.7" top="0.75" bottom="0.75" header="0.3" footer="0.3"/>
  <pageSetup paperSize="9" scale="72" orientation="portrait" r:id="rId1"/>
  <rowBreaks count="4" manualBreakCount="4">
    <brk id="51" max="16383" man="1"/>
    <brk id="107" max="16383" man="1"/>
    <brk id="156" max="16383" man="1"/>
    <brk id="19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>
      <selection activeCell="F1" sqref="F1"/>
    </sheetView>
  </sheetViews>
  <sheetFormatPr defaultRowHeight="12.75"/>
  <cols>
    <col min="1" max="1" width="3.28515625" style="256" customWidth="1"/>
    <col min="2" max="2" width="30.7109375" style="256" customWidth="1"/>
    <col min="3" max="4" width="10.7109375" style="256" customWidth="1"/>
    <col min="5" max="6" width="17.7109375" style="256" customWidth="1"/>
    <col min="7" max="252" width="9.140625" style="256"/>
    <col min="253" max="253" width="2.7109375" style="256" bestFit="1" customWidth="1"/>
    <col min="254" max="254" width="25.28515625" style="256" customWidth="1"/>
    <col min="255" max="255" width="9.140625" style="256"/>
    <col min="256" max="256" width="9.7109375" style="256" customWidth="1"/>
    <col min="257" max="257" width="7.7109375" style="256" customWidth="1"/>
    <col min="258" max="258" width="11.85546875" style="256" customWidth="1"/>
    <col min="259" max="259" width="11.140625" style="256" customWidth="1"/>
    <col min="260" max="260" width="10.28515625" style="256" customWidth="1"/>
    <col min="261" max="261" width="11.42578125" style="256" customWidth="1"/>
    <col min="262" max="262" width="15.5703125" style="256" customWidth="1"/>
    <col min="263" max="508" width="9.140625" style="256"/>
    <col min="509" max="509" width="2.7109375" style="256" bestFit="1" customWidth="1"/>
    <col min="510" max="510" width="25.28515625" style="256" customWidth="1"/>
    <col min="511" max="511" width="9.140625" style="256"/>
    <col min="512" max="512" width="9.7109375" style="256" customWidth="1"/>
    <col min="513" max="513" width="7.7109375" style="256" customWidth="1"/>
    <col min="514" max="514" width="11.85546875" style="256" customWidth="1"/>
    <col min="515" max="515" width="11.140625" style="256" customWidth="1"/>
    <col min="516" max="516" width="10.28515625" style="256" customWidth="1"/>
    <col min="517" max="517" width="11.42578125" style="256" customWidth="1"/>
    <col min="518" max="518" width="15.5703125" style="256" customWidth="1"/>
    <col min="519" max="764" width="9.140625" style="256"/>
    <col min="765" max="765" width="2.7109375" style="256" bestFit="1" customWidth="1"/>
    <col min="766" max="766" width="25.28515625" style="256" customWidth="1"/>
    <col min="767" max="767" width="9.140625" style="256"/>
    <col min="768" max="768" width="9.7109375" style="256" customWidth="1"/>
    <col min="769" max="769" width="7.7109375" style="256" customWidth="1"/>
    <col min="770" max="770" width="11.85546875" style="256" customWidth="1"/>
    <col min="771" max="771" width="11.140625" style="256" customWidth="1"/>
    <col min="772" max="772" width="10.28515625" style="256" customWidth="1"/>
    <col min="773" max="773" width="11.42578125" style="256" customWidth="1"/>
    <col min="774" max="774" width="15.5703125" style="256" customWidth="1"/>
    <col min="775" max="1020" width="9.140625" style="256"/>
    <col min="1021" max="1021" width="2.7109375" style="256" bestFit="1" customWidth="1"/>
    <col min="1022" max="1022" width="25.28515625" style="256" customWidth="1"/>
    <col min="1023" max="1023" width="9.140625" style="256"/>
    <col min="1024" max="1024" width="9.7109375" style="256" customWidth="1"/>
    <col min="1025" max="1025" width="7.7109375" style="256" customWidth="1"/>
    <col min="1026" max="1026" width="11.85546875" style="256" customWidth="1"/>
    <col min="1027" max="1027" width="11.140625" style="256" customWidth="1"/>
    <col min="1028" max="1028" width="10.28515625" style="256" customWidth="1"/>
    <col min="1029" max="1029" width="11.42578125" style="256" customWidth="1"/>
    <col min="1030" max="1030" width="15.5703125" style="256" customWidth="1"/>
    <col min="1031" max="1276" width="9.140625" style="256"/>
    <col min="1277" max="1277" width="2.7109375" style="256" bestFit="1" customWidth="1"/>
    <col min="1278" max="1278" width="25.28515625" style="256" customWidth="1"/>
    <col min="1279" max="1279" width="9.140625" style="256"/>
    <col min="1280" max="1280" width="9.7109375" style="256" customWidth="1"/>
    <col min="1281" max="1281" width="7.7109375" style="256" customWidth="1"/>
    <col min="1282" max="1282" width="11.85546875" style="256" customWidth="1"/>
    <col min="1283" max="1283" width="11.140625" style="256" customWidth="1"/>
    <col min="1284" max="1284" width="10.28515625" style="256" customWidth="1"/>
    <col min="1285" max="1285" width="11.42578125" style="256" customWidth="1"/>
    <col min="1286" max="1286" width="15.5703125" style="256" customWidth="1"/>
    <col min="1287" max="1532" width="9.140625" style="256"/>
    <col min="1533" max="1533" width="2.7109375" style="256" bestFit="1" customWidth="1"/>
    <col min="1534" max="1534" width="25.28515625" style="256" customWidth="1"/>
    <col min="1535" max="1535" width="9.140625" style="256"/>
    <col min="1536" max="1536" width="9.7109375" style="256" customWidth="1"/>
    <col min="1537" max="1537" width="7.7109375" style="256" customWidth="1"/>
    <col min="1538" max="1538" width="11.85546875" style="256" customWidth="1"/>
    <col min="1539" max="1539" width="11.140625" style="256" customWidth="1"/>
    <col min="1540" max="1540" width="10.28515625" style="256" customWidth="1"/>
    <col min="1541" max="1541" width="11.42578125" style="256" customWidth="1"/>
    <col min="1542" max="1542" width="15.5703125" style="256" customWidth="1"/>
    <col min="1543" max="1788" width="9.140625" style="256"/>
    <col min="1789" max="1789" width="2.7109375" style="256" bestFit="1" customWidth="1"/>
    <col min="1790" max="1790" width="25.28515625" style="256" customWidth="1"/>
    <col min="1791" max="1791" width="9.140625" style="256"/>
    <col min="1792" max="1792" width="9.7109375" style="256" customWidth="1"/>
    <col min="1793" max="1793" width="7.7109375" style="256" customWidth="1"/>
    <col min="1794" max="1794" width="11.85546875" style="256" customWidth="1"/>
    <col min="1795" max="1795" width="11.140625" style="256" customWidth="1"/>
    <col min="1796" max="1796" width="10.28515625" style="256" customWidth="1"/>
    <col min="1797" max="1797" width="11.42578125" style="256" customWidth="1"/>
    <col min="1798" max="1798" width="15.5703125" style="256" customWidth="1"/>
    <col min="1799" max="2044" width="9.140625" style="256"/>
    <col min="2045" max="2045" width="2.7109375" style="256" bestFit="1" customWidth="1"/>
    <col min="2046" max="2046" width="25.28515625" style="256" customWidth="1"/>
    <col min="2047" max="2047" width="9.140625" style="256"/>
    <col min="2048" max="2048" width="9.7109375" style="256" customWidth="1"/>
    <col min="2049" max="2049" width="7.7109375" style="256" customWidth="1"/>
    <col min="2050" max="2050" width="11.85546875" style="256" customWidth="1"/>
    <col min="2051" max="2051" width="11.140625" style="256" customWidth="1"/>
    <col min="2052" max="2052" width="10.28515625" style="256" customWidth="1"/>
    <col min="2053" max="2053" width="11.42578125" style="256" customWidth="1"/>
    <col min="2054" max="2054" width="15.5703125" style="256" customWidth="1"/>
    <col min="2055" max="2300" width="9.140625" style="256"/>
    <col min="2301" max="2301" width="2.7109375" style="256" bestFit="1" customWidth="1"/>
    <col min="2302" max="2302" width="25.28515625" style="256" customWidth="1"/>
    <col min="2303" max="2303" width="9.140625" style="256"/>
    <col min="2304" max="2304" width="9.7109375" style="256" customWidth="1"/>
    <col min="2305" max="2305" width="7.7109375" style="256" customWidth="1"/>
    <col min="2306" max="2306" width="11.85546875" style="256" customWidth="1"/>
    <col min="2307" max="2307" width="11.140625" style="256" customWidth="1"/>
    <col min="2308" max="2308" width="10.28515625" style="256" customWidth="1"/>
    <col min="2309" max="2309" width="11.42578125" style="256" customWidth="1"/>
    <col min="2310" max="2310" width="15.5703125" style="256" customWidth="1"/>
    <col min="2311" max="2556" width="9.140625" style="256"/>
    <col min="2557" max="2557" width="2.7109375" style="256" bestFit="1" customWidth="1"/>
    <col min="2558" max="2558" width="25.28515625" style="256" customWidth="1"/>
    <col min="2559" max="2559" width="9.140625" style="256"/>
    <col min="2560" max="2560" width="9.7109375" style="256" customWidth="1"/>
    <col min="2561" max="2561" width="7.7109375" style="256" customWidth="1"/>
    <col min="2562" max="2562" width="11.85546875" style="256" customWidth="1"/>
    <col min="2563" max="2563" width="11.140625" style="256" customWidth="1"/>
    <col min="2564" max="2564" width="10.28515625" style="256" customWidth="1"/>
    <col min="2565" max="2565" width="11.42578125" style="256" customWidth="1"/>
    <col min="2566" max="2566" width="15.5703125" style="256" customWidth="1"/>
    <col min="2567" max="2812" width="9.140625" style="256"/>
    <col min="2813" max="2813" width="2.7109375" style="256" bestFit="1" customWidth="1"/>
    <col min="2814" max="2814" width="25.28515625" style="256" customWidth="1"/>
    <col min="2815" max="2815" width="9.140625" style="256"/>
    <col min="2816" max="2816" width="9.7109375" style="256" customWidth="1"/>
    <col min="2817" max="2817" width="7.7109375" style="256" customWidth="1"/>
    <col min="2818" max="2818" width="11.85546875" style="256" customWidth="1"/>
    <col min="2819" max="2819" width="11.140625" style="256" customWidth="1"/>
    <col min="2820" max="2820" width="10.28515625" style="256" customWidth="1"/>
    <col min="2821" max="2821" width="11.42578125" style="256" customWidth="1"/>
    <col min="2822" max="2822" width="15.5703125" style="256" customWidth="1"/>
    <col min="2823" max="3068" width="9.140625" style="256"/>
    <col min="3069" max="3069" width="2.7109375" style="256" bestFit="1" customWidth="1"/>
    <col min="3070" max="3070" width="25.28515625" style="256" customWidth="1"/>
    <col min="3071" max="3071" width="9.140625" style="256"/>
    <col min="3072" max="3072" width="9.7109375" style="256" customWidth="1"/>
    <col min="3073" max="3073" width="7.7109375" style="256" customWidth="1"/>
    <col min="3074" max="3074" width="11.85546875" style="256" customWidth="1"/>
    <col min="3075" max="3075" width="11.140625" style="256" customWidth="1"/>
    <col min="3076" max="3076" width="10.28515625" style="256" customWidth="1"/>
    <col min="3077" max="3077" width="11.42578125" style="256" customWidth="1"/>
    <col min="3078" max="3078" width="15.5703125" style="256" customWidth="1"/>
    <col min="3079" max="3324" width="9.140625" style="256"/>
    <col min="3325" max="3325" width="2.7109375" style="256" bestFit="1" customWidth="1"/>
    <col min="3326" max="3326" width="25.28515625" style="256" customWidth="1"/>
    <col min="3327" max="3327" width="9.140625" style="256"/>
    <col min="3328" max="3328" width="9.7109375" style="256" customWidth="1"/>
    <col min="3329" max="3329" width="7.7109375" style="256" customWidth="1"/>
    <col min="3330" max="3330" width="11.85546875" style="256" customWidth="1"/>
    <col min="3331" max="3331" width="11.140625" style="256" customWidth="1"/>
    <col min="3332" max="3332" width="10.28515625" style="256" customWidth="1"/>
    <col min="3333" max="3333" width="11.42578125" style="256" customWidth="1"/>
    <col min="3334" max="3334" width="15.5703125" style="256" customWidth="1"/>
    <col min="3335" max="3580" width="9.140625" style="256"/>
    <col min="3581" max="3581" width="2.7109375" style="256" bestFit="1" customWidth="1"/>
    <col min="3582" max="3582" width="25.28515625" style="256" customWidth="1"/>
    <col min="3583" max="3583" width="9.140625" style="256"/>
    <col min="3584" max="3584" width="9.7109375" style="256" customWidth="1"/>
    <col min="3585" max="3585" width="7.7109375" style="256" customWidth="1"/>
    <col min="3586" max="3586" width="11.85546875" style="256" customWidth="1"/>
    <col min="3587" max="3587" width="11.140625" style="256" customWidth="1"/>
    <col min="3588" max="3588" width="10.28515625" style="256" customWidth="1"/>
    <col min="3589" max="3589" width="11.42578125" style="256" customWidth="1"/>
    <col min="3590" max="3590" width="15.5703125" style="256" customWidth="1"/>
    <col min="3591" max="3836" width="9.140625" style="256"/>
    <col min="3837" max="3837" width="2.7109375" style="256" bestFit="1" customWidth="1"/>
    <col min="3838" max="3838" width="25.28515625" style="256" customWidth="1"/>
    <col min="3839" max="3839" width="9.140625" style="256"/>
    <col min="3840" max="3840" width="9.7109375" style="256" customWidth="1"/>
    <col min="3841" max="3841" width="7.7109375" style="256" customWidth="1"/>
    <col min="3842" max="3842" width="11.85546875" style="256" customWidth="1"/>
    <col min="3843" max="3843" width="11.140625" style="256" customWidth="1"/>
    <col min="3844" max="3844" width="10.28515625" style="256" customWidth="1"/>
    <col min="3845" max="3845" width="11.42578125" style="256" customWidth="1"/>
    <col min="3846" max="3846" width="15.5703125" style="256" customWidth="1"/>
    <col min="3847" max="4092" width="9.140625" style="256"/>
    <col min="4093" max="4093" width="2.7109375" style="256" bestFit="1" customWidth="1"/>
    <col min="4094" max="4094" width="25.28515625" style="256" customWidth="1"/>
    <col min="4095" max="4095" width="9.140625" style="256"/>
    <col min="4096" max="4096" width="9.7109375" style="256" customWidth="1"/>
    <col min="4097" max="4097" width="7.7109375" style="256" customWidth="1"/>
    <col min="4098" max="4098" width="11.85546875" style="256" customWidth="1"/>
    <col min="4099" max="4099" width="11.140625" style="256" customWidth="1"/>
    <col min="4100" max="4100" width="10.28515625" style="256" customWidth="1"/>
    <col min="4101" max="4101" width="11.42578125" style="256" customWidth="1"/>
    <col min="4102" max="4102" width="15.5703125" style="256" customWidth="1"/>
    <col min="4103" max="4348" width="9.140625" style="256"/>
    <col min="4349" max="4349" width="2.7109375" style="256" bestFit="1" customWidth="1"/>
    <col min="4350" max="4350" width="25.28515625" style="256" customWidth="1"/>
    <col min="4351" max="4351" width="9.140625" style="256"/>
    <col min="4352" max="4352" width="9.7109375" style="256" customWidth="1"/>
    <col min="4353" max="4353" width="7.7109375" style="256" customWidth="1"/>
    <col min="4354" max="4354" width="11.85546875" style="256" customWidth="1"/>
    <col min="4355" max="4355" width="11.140625" style="256" customWidth="1"/>
    <col min="4356" max="4356" width="10.28515625" style="256" customWidth="1"/>
    <col min="4357" max="4357" width="11.42578125" style="256" customWidth="1"/>
    <col min="4358" max="4358" width="15.5703125" style="256" customWidth="1"/>
    <col min="4359" max="4604" width="9.140625" style="256"/>
    <col min="4605" max="4605" width="2.7109375" style="256" bestFit="1" customWidth="1"/>
    <col min="4606" max="4606" width="25.28515625" style="256" customWidth="1"/>
    <col min="4607" max="4607" width="9.140625" style="256"/>
    <col min="4608" max="4608" width="9.7109375" style="256" customWidth="1"/>
    <col min="4609" max="4609" width="7.7109375" style="256" customWidth="1"/>
    <col min="4610" max="4610" width="11.85546875" style="256" customWidth="1"/>
    <col min="4611" max="4611" width="11.140625" style="256" customWidth="1"/>
    <col min="4612" max="4612" width="10.28515625" style="256" customWidth="1"/>
    <col min="4613" max="4613" width="11.42578125" style="256" customWidth="1"/>
    <col min="4614" max="4614" width="15.5703125" style="256" customWidth="1"/>
    <col min="4615" max="4860" width="9.140625" style="256"/>
    <col min="4861" max="4861" width="2.7109375" style="256" bestFit="1" customWidth="1"/>
    <col min="4862" max="4862" width="25.28515625" style="256" customWidth="1"/>
    <col min="4863" max="4863" width="9.140625" style="256"/>
    <col min="4864" max="4864" width="9.7109375" style="256" customWidth="1"/>
    <col min="4865" max="4865" width="7.7109375" style="256" customWidth="1"/>
    <col min="4866" max="4866" width="11.85546875" style="256" customWidth="1"/>
    <col min="4867" max="4867" width="11.140625" style="256" customWidth="1"/>
    <col min="4868" max="4868" width="10.28515625" style="256" customWidth="1"/>
    <col min="4869" max="4869" width="11.42578125" style="256" customWidth="1"/>
    <col min="4870" max="4870" width="15.5703125" style="256" customWidth="1"/>
    <col min="4871" max="5116" width="9.140625" style="256"/>
    <col min="5117" max="5117" width="2.7109375" style="256" bestFit="1" customWidth="1"/>
    <col min="5118" max="5118" width="25.28515625" style="256" customWidth="1"/>
    <col min="5119" max="5119" width="9.140625" style="256"/>
    <col min="5120" max="5120" width="9.7109375" style="256" customWidth="1"/>
    <col min="5121" max="5121" width="7.7109375" style="256" customWidth="1"/>
    <col min="5122" max="5122" width="11.85546875" style="256" customWidth="1"/>
    <col min="5123" max="5123" width="11.140625" style="256" customWidth="1"/>
    <col min="5124" max="5124" width="10.28515625" style="256" customWidth="1"/>
    <col min="5125" max="5125" width="11.42578125" style="256" customWidth="1"/>
    <col min="5126" max="5126" width="15.5703125" style="256" customWidth="1"/>
    <col min="5127" max="5372" width="9.140625" style="256"/>
    <col min="5373" max="5373" width="2.7109375" style="256" bestFit="1" customWidth="1"/>
    <col min="5374" max="5374" width="25.28515625" style="256" customWidth="1"/>
    <col min="5375" max="5375" width="9.140625" style="256"/>
    <col min="5376" max="5376" width="9.7109375" style="256" customWidth="1"/>
    <col min="5377" max="5377" width="7.7109375" style="256" customWidth="1"/>
    <col min="5378" max="5378" width="11.85546875" style="256" customWidth="1"/>
    <col min="5379" max="5379" width="11.140625" style="256" customWidth="1"/>
    <col min="5380" max="5380" width="10.28515625" style="256" customWidth="1"/>
    <col min="5381" max="5381" width="11.42578125" style="256" customWidth="1"/>
    <col min="5382" max="5382" width="15.5703125" style="256" customWidth="1"/>
    <col min="5383" max="5628" width="9.140625" style="256"/>
    <col min="5629" max="5629" width="2.7109375" style="256" bestFit="1" customWidth="1"/>
    <col min="5630" max="5630" width="25.28515625" style="256" customWidth="1"/>
    <col min="5631" max="5631" width="9.140625" style="256"/>
    <col min="5632" max="5632" width="9.7109375" style="256" customWidth="1"/>
    <col min="5633" max="5633" width="7.7109375" style="256" customWidth="1"/>
    <col min="5634" max="5634" width="11.85546875" style="256" customWidth="1"/>
    <col min="5635" max="5635" width="11.140625" style="256" customWidth="1"/>
    <col min="5636" max="5636" width="10.28515625" style="256" customWidth="1"/>
    <col min="5637" max="5637" width="11.42578125" style="256" customWidth="1"/>
    <col min="5638" max="5638" width="15.5703125" style="256" customWidth="1"/>
    <col min="5639" max="5884" width="9.140625" style="256"/>
    <col min="5885" max="5885" width="2.7109375" style="256" bestFit="1" customWidth="1"/>
    <col min="5886" max="5886" width="25.28515625" style="256" customWidth="1"/>
    <col min="5887" max="5887" width="9.140625" style="256"/>
    <col min="5888" max="5888" width="9.7109375" style="256" customWidth="1"/>
    <col min="5889" max="5889" width="7.7109375" style="256" customWidth="1"/>
    <col min="5890" max="5890" width="11.85546875" style="256" customWidth="1"/>
    <col min="5891" max="5891" width="11.140625" style="256" customWidth="1"/>
    <col min="5892" max="5892" width="10.28515625" style="256" customWidth="1"/>
    <col min="5893" max="5893" width="11.42578125" style="256" customWidth="1"/>
    <col min="5894" max="5894" width="15.5703125" style="256" customWidth="1"/>
    <col min="5895" max="6140" width="9.140625" style="256"/>
    <col min="6141" max="6141" width="2.7109375" style="256" bestFit="1" customWidth="1"/>
    <col min="6142" max="6142" width="25.28515625" style="256" customWidth="1"/>
    <col min="6143" max="6143" width="9.140625" style="256"/>
    <col min="6144" max="6144" width="9.7109375" style="256" customWidth="1"/>
    <col min="6145" max="6145" width="7.7109375" style="256" customWidth="1"/>
    <col min="6146" max="6146" width="11.85546875" style="256" customWidth="1"/>
    <col min="6147" max="6147" width="11.140625" style="256" customWidth="1"/>
    <col min="6148" max="6148" width="10.28515625" style="256" customWidth="1"/>
    <col min="6149" max="6149" width="11.42578125" style="256" customWidth="1"/>
    <col min="6150" max="6150" width="15.5703125" style="256" customWidth="1"/>
    <col min="6151" max="6396" width="9.140625" style="256"/>
    <col min="6397" max="6397" width="2.7109375" style="256" bestFit="1" customWidth="1"/>
    <col min="6398" max="6398" width="25.28515625" style="256" customWidth="1"/>
    <col min="6399" max="6399" width="9.140625" style="256"/>
    <col min="6400" max="6400" width="9.7109375" style="256" customWidth="1"/>
    <col min="6401" max="6401" width="7.7109375" style="256" customWidth="1"/>
    <col min="6402" max="6402" width="11.85546875" style="256" customWidth="1"/>
    <col min="6403" max="6403" width="11.140625" style="256" customWidth="1"/>
    <col min="6404" max="6404" width="10.28515625" style="256" customWidth="1"/>
    <col min="6405" max="6405" width="11.42578125" style="256" customWidth="1"/>
    <col min="6406" max="6406" width="15.5703125" style="256" customWidth="1"/>
    <col min="6407" max="6652" width="9.140625" style="256"/>
    <col min="6653" max="6653" width="2.7109375" style="256" bestFit="1" customWidth="1"/>
    <col min="6654" max="6654" width="25.28515625" style="256" customWidth="1"/>
    <col min="6655" max="6655" width="9.140625" style="256"/>
    <col min="6656" max="6656" width="9.7109375" style="256" customWidth="1"/>
    <col min="6657" max="6657" width="7.7109375" style="256" customWidth="1"/>
    <col min="6658" max="6658" width="11.85546875" style="256" customWidth="1"/>
    <col min="6659" max="6659" width="11.140625" style="256" customWidth="1"/>
    <col min="6660" max="6660" width="10.28515625" style="256" customWidth="1"/>
    <col min="6661" max="6661" width="11.42578125" style="256" customWidth="1"/>
    <col min="6662" max="6662" width="15.5703125" style="256" customWidth="1"/>
    <col min="6663" max="6908" width="9.140625" style="256"/>
    <col min="6909" max="6909" width="2.7109375" style="256" bestFit="1" customWidth="1"/>
    <col min="6910" max="6910" width="25.28515625" style="256" customWidth="1"/>
    <col min="6911" max="6911" width="9.140625" style="256"/>
    <col min="6912" max="6912" width="9.7109375" style="256" customWidth="1"/>
    <col min="6913" max="6913" width="7.7109375" style="256" customWidth="1"/>
    <col min="6914" max="6914" width="11.85546875" style="256" customWidth="1"/>
    <col min="6915" max="6915" width="11.140625" style="256" customWidth="1"/>
    <col min="6916" max="6916" width="10.28515625" style="256" customWidth="1"/>
    <col min="6917" max="6917" width="11.42578125" style="256" customWidth="1"/>
    <col min="6918" max="6918" width="15.5703125" style="256" customWidth="1"/>
    <col min="6919" max="7164" width="9.140625" style="256"/>
    <col min="7165" max="7165" width="2.7109375" style="256" bestFit="1" customWidth="1"/>
    <col min="7166" max="7166" width="25.28515625" style="256" customWidth="1"/>
    <col min="7167" max="7167" width="9.140625" style="256"/>
    <col min="7168" max="7168" width="9.7109375" style="256" customWidth="1"/>
    <col min="7169" max="7169" width="7.7109375" style="256" customWidth="1"/>
    <col min="7170" max="7170" width="11.85546875" style="256" customWidth="1"/>
    <col min="7171" max="7171" width="11.140625" style="256" customWidth="1"/>
    <col min="7172" max="7172" width="10.28515625" style="256" customWidth="1"/>
    <col min="7173" max="7173" width="11.42578125" style="256" customWidth="1"/>
    <col min="7174" max="7174" width="15.5703125" style="256" customWidth="1"/>
    <col min="7175" max="7420" width="9.140625" style="256"/>
    <col min="7421" max="7421" width="2.7109375" style="256" bestFit="1" customWidth="1"/>
    <col min="7422" max="7422" width="25.28515625" style="256" customWidth="1"/>
    <col min="7423" max="7423" width="9.140625" style="256"/>
    <col min="7424" max="7424" width="9.7109375" style="256" customWidth="1"/>
    <col min="7425" max="7425" width="7.7109375" style="256" customWidth="1"/>
    <col min="7426" max="7426" width="11.85546875" style="256" customWidth="1"/>
    <col min="7427" max="7427" width="11.140625" style="256" customWidth="1"/>
    <col min="7428" max="7428" width="10.28515625" style="256" customWidth="1"/>
    <col min="7429" max="7429" width="11.42578125" style="256" customWidth="1"/>
    <col min="7430" max="7430" width="15.5703125" style="256" customWidth="1"/>
    <col min="7431" max="7676" width="9.140625" style="256"/>
    <col min="7677" max="7677" width="2.7109375" style="256" bestFit="1" customWidth="1"/>
    <col min="7678" max="7678" width="25.28515625" style="256" customWidth="1"/>
    <col min="7679" max="7679" width="9.140625" style="256"/>
    <col min="7680" max="7680" width="9.7109375" style="256" customWidth="1"/>
    <col min="7681" max="7681" width="7.7109375" style="256" customWidth="1"/>
    <col min="7682" max="7682" width="11.85546875" style="256" customWidth="1"/>
    <col min="7683" max="7683" width="11.140625" style="256" customWidth="1"/>
    <col min="7684" max="7684" width="10.28515625" style="256" customWidth="1"/>
    <col min="7685" max="7685" width="11.42578125" style="256" customWidth="1"/>
    <col min="7686" max="7686" width="15.5703125" style="256" customWidth="1"/>
    <col min="7687" max="7932" width="9.140625" style="256"/>
    <col min="7933" max="7933" width="2.7109375" style="256" bestFit="1" customWidth="1"/>
    <col min="7934" max="7934" width="25.28515625" style="256" customWidth="1"/>
    <col min="7935" max="7935" width="9.140625" style="256"/>
    <col min="7936" max="7936" width="9.7109375" style="256" customWidth="1"/>
    <col min="7937" max="7937" width="7.7109375" style="256" customWidth="1"/>
    <col min="7938" max="7938" width="11.85546875" style="256" customWidth="1"/>
    <col min="7939" max="7939" width="11.140625" style="256" customWidth="1"/>
    <col min="7940" max="7940" width="10.28515625" style="256" customWidth="1"/>
    <col min="7941" max="7941" width="11.42578125" style="256" customWidth="1"/>
    <col min="7942" max="7942" width="15.5703125" style="256" customWidth="1"/>
    <col min="7943" max="8188" width="9.140625" style="256"/>
    <col min="8189" max="8189" width="2.7109375" style="256" bestFit="1" customWidth="1"/>
    <col min="8190" max="8190" width="25.28515625" style="256" customWidth="1"/>
    <col min="8191" max="8191" width="9.140625" style="256"/>
    <col min="8192" max="8192" width="9.7109375" style="256" customWidth="1"/>
    <col min="8193" max="8193" width="7.7109375" style="256" customWidth="1"/>
    <col min="8194" max="8194" width="11.85546875" style="256" customWidth="1"/>
    <col min="8195" max="8195" width="11.140625" style="256" customWidth="1"/>
    <col min="8196" max="8196" width="10.28515625" style="256" customWidth="1"/>
    <col min="8197" max="8197" width="11.42578125" style="256" customWidth="1"/>
    <col min="8198" max="8198" width="15.5703125" style="256" customWidth="1"/>
    <col min="8199" max="8444" width="9.140625" style="256"/>
    <col min="8445" max="8445" width="2.7109375" style="256" bestFit="1" customWidth="1"/>
    <col min="8446" max="8446" width="25.28515625" style="256" customWidth="1"/>
    <col min="8447" max="8447" width="9.140625" style="256"/>
    <col min="8448" max="8448" width="9.7109375" style="256" customWidth="1"/>
    <col min="8449" max="8449" width="7.7109375" style="256" customWidth="1"/>
    <col min="8450" max="8450" width="11.85546875" style="256" customWidth="1"/>
    <col min="8451" max="8451" width="11.140625" style="256" customWidth="1"/>
    <col min="8452" max="8452" width="10.28515625" style="256" customWidth="1"/>
    <col min="8453" max="8453" width="11.42578125" style="256" customWidth="1"/>
    <col min="8454" max="8454" width="15.5703125" style="256" customWidth="1"/>
    <col min="8455" max="8700" width="9.140625" style="256"/>
    <col min="8701" max="8701" width="2.7109375" style="256" bestFit="1" customWidth="1"/>
    <col min="8702" max="8702" width="25.28515625" style="256" customWidth="1"/>
    <col min="8703" max="8703" width="9.140625" style="256"/>
    <col min="8704" max="8704" width="9.7109375" style="256" customWidth="1"/>
    <col min="8705" max="8705" width="7.7109375" style="256" customWidth="1"/>
    <col min="8706" max="8706" width="11.85546875" style="256" customWidth="1"/>
    <col min="8707" max="8707" width="11.140625" style="256" customWidth="1"/>
    <col min="8708" max="8708" width="10.28515625" style="256" customWidth="1"/>
    <col min="8709" max="8709" width="11.42578125" style="256" customWidth="1"/>
    <col min="8710" max="8710" width="15.5703125" style="256" customWidth="1"/>
    <col min="8711" max="8956" width="9.140625" style="256"/>
    <col min="8957" max="8957" width="2.7109375" style="256" bestFit="1" customWidth="1"/>
    <col min="8958" max="8958" width="25.28515625" style="256" customWidth="1"/>
    <col min="8959" max="8959" width="9.140625" style="256"/>
    <col min="8960" max="8960" width="9.7109375" style="256" customWidth="1"/>
    <col min="8961" max="8961" width="7.7109375" style="256" customWidth="1"/>
    <col min="8962" max="8962" width="11.85546875" style="256" customWidth="1"/>
    <col min="8963" max="8963" width="11.140625" style="256" customWidth="1"/>
    <col min="8964" max="8964" width="10.28515625" style="256" customWidth="1"/>
    <col min="8965" max="8965" width="11.42578125" style="256" customWidth="1"/>
    <col min="8966" max="8966" width="15.5703125" style="256" customWidth="1"/>
    <col min="8967" max="9212" width="9.140625" style="256"/>
    <col min="9213" max="9213" width="2.7109375" style="256" bestFit="1" customWidth="1"/>
    <col min="9214" max="9214" width="25.28515625" style="256" customWidth="1"/>
    <col min="9215" max="9215" width="9.140625" style="256"/>
    <col min="9216" max="9216" width="9.7109375" style="256" customWidth="1"/>
    <col min="9217" max="9217" width="7.7109375" style="256" customWidth="1"/>
    <col min="9218" max="9218" width="11.85546875" style="256" customWidth="1"/>
    <col min="9219" max="9219" width="11.140625" style="256" customWidth="1"/>
    <col min="9220" max="9220" width="10.28515625" style="256" customWidth="1"/>
    <col min="9221" max="9221" width="11.42578125" style="256" customWidth="1"/>
    <col min="9222" max="9222" width="15.5703125" style="256" customWidth="1"/>
    <col min="9223" max="9468" width="9.140625" style="256"/>
    <col min="9469" max="9469" width="2.7109375" style="256" bestFit="1" customWidth="1"/>
    <col min="9470" max="9470" width="25.28515625" style="256" customWidth="1"/>
    <col min="9471" max="9471" width="9.140625" style="256"/>
    <col min="9472" max="9472" width="9.7109375" style="256" customWidth="1"/>
    <col min="9473" max="9473" width="7.7109375" style="256" customWidth="1"/>
    <col min="9474" max="9474" width="11.85546875" style="256" customWidth="1"/>
    <col min="9475" max="9475" width="11.140625" style="256" customWidth="1"/>
    <col min="9476" max="9476" width="10.28515625" style="256" customWidth="1"/>
    <col min="9477" max="9477" width="11.42578125" style="256" customWidth="1"/>
    <col min="9478" max="9478" width="15.5703125" style="256" customWidth="1"/>
    <col min="9479" max="9724" width="9.140625" style="256"/>
    <col min="9725" max="9725" width="2.7109375" style="256" bestFit="1" customWidth="1"/>
    <col min="9726" max="9726" width="25.28515625" style="256" customWidth="1"/>
    <col min="9727" max="9727" width="9.140625" style="256"/>
    <col min="9728" max="9728" width="9.7109375" style="256" customWidth="1"/>
    <col min="9729" max="9729" width="7.7109375" style="256" customWidth="1"/>
    <col min="9730" max="9730" width="11.85546875" style="256" customWidth="1"/>
    <col min="9731" max="9731" width="11.140625" style="256" customWidth="1"/>
    <col min="9732" max="9732" width="10.28515625" style="256" customWidth="1"/>
    <col min="9733" max="9733" width="11.42578125" style="256" customWidth="1"/>
    <col min="9734" max="9734" width="15.5703125" style="256" customWidth="1"/>
    <col min="9735" max="9980" width="9.140625" style="256"/>
    <col min="9981" max="9981" width="2.7109375" style="256" bestFit="1" customWidth="1"/>
    <col min="9982" max="9982" width="25.28515625" style="256" customWidth="1"/>
    <col min="9983" max="9983" width="9.140625" style="256"/>
    <col min="9984" max="9984" width="9.7109375" style="256" customWidth="1"/>
    <col min="9985" max="9985" width="7.7109375" style="256" customWidth="1"/>
    <col min="9986" max="9986" width="11.85546875" style="256" customWidth="1"/>
    <col min="9987" max="9987" width="11.140625" style="256" customWidth="1"/>
    <col min="9988" max="9988" width="10.28515625" style="256" customWidth="1"/>
    <col min="9989" max="9989" width="11.42578125" style="256" customWidth="1"/>
    <col min="9990" max="9990" width="15.5703125" style="256" customWidth="1"/>
    <col min="9991" max="10236" width="9.140625" style="256"/>
    <col min="10237" max="10237" width="2.7109375" style="256" bestFit="1" customWidth="1"/>
    <col min="10238" max="10238" width="25.28515625" style="256" customWidth="1"/>
    <col min="10239" max="10239" width="9.140625" style="256"/>
    <col min="10240" max="10240" width="9.7109375" style="256" customWidth="1"/>
    <col min="10241" max="10241" width="7.7109375" style="256" customWidth="1"/>
    <col min="10242" max="10242" width="11.85546875" style="256" customWidth="1"/>
    <col min="10243" max="10243" width="11.140625" style="256" customWidth="1"/>
    <col min="10244" max="10244" width="10.28515625" style="256" customWidth="1"/>
    <col min="10245" max="10245" width="11.42578125" style="256" customWidth="1"/>
    <col min="10246" max="10246" width="15.5703125" style="256" customWidth="1"/>
    <col min="10247" max="10492" width="9.140625" style="256"/>
    <col min="10493" max="10493" width="2.7109375" style="256" bestFit="1" customWidth="1"/>
    <col min="10494" max="10494" width="25.28515625" style="256" customWidth="1"/>
    <col min="10495" max="10495" width="9.140625" style="256"/>
    <col min="10496" max="10496" width="9.7109375" style="256" customWidth="1"/>
    <col min="10497" max="10497" width="7.7109375" style="256" customWidth="1"/>
    <col min="10498" max="10498" width="11.85546875" style="256" customWidth="1"/>
    <col min="10499" max="10499" width="11.140625" style="256" customWidth="1"/>
    <col min="10500" max="10500" width="10.28515625" style="256" customWidth="1"/>
    <col min="10501" max="10501" width="11.42578125" style="256" customWidth="1"/>
    <col min="10502" max="10502" width="15.5703125" style="256" customWidth="1"/>
    <col min="10503" max="10748" width="9.140625" style="256"/>
    <col min="10749" max="10749" width="2.7109375" style="256" bestFit="1" customWidth="1"/>
    <col min="10750" max="10750" width="25.28515625" style="256" customWidth="1"/>
    <col min="10751" max="10751" width="9.140625" style="256"/>
    <col min="10752" max="10752" width="9.7109375" style="256" customWidth="1"/>
    <col min="10753" max="10753" width="7.7109375" style="256" customWidth="1"/>
    <col min="10754" max="10754" width="11.85546875" style="256" customWidth="1"/>
    <col min="10755" max="10755" width="11.140625" style="256" customWidth="1"/>
    <col min="10756" max="10756" width="10.28515625" style="256" customWidth="1"/>
    <col min="10757" max="10757" width="11.42578125" style="256" customWidth="1"/>
    <col min="10758" max="10758" width="15.5703125" style="256" customWidth="1"/>
    <col min="10759" max="11004" width="9.140625" style="256"/>
    <col min="11005" max="11005" width="2.7109375" style="256" bestFit="1" customWidth="1"/>
    <col min="11006" max="11006" width="25.28515625" style="256" customWidth="1"/>
    <col min="11007" max="11007" width="9.140625" style="256"/>
    <col min="11008" max="11008" width="9.7109375" style="256" customWidth="1"/>
    <col min="11009" max="11009" width="7.7109375" style="256" customWidth="1"/>
    <col min="11010" max="11010" width="11.85546875" style="256" customWidth="1"/>
    <col min="11011" max="11011" width="11.140625" style="256" customWidth="1"/>
    <col min="11012" max="11012" width="10.28515625" style="256" customWidth="1"/>
    <col min="11013" max="11013" width="11.42578125" style="256" customWidth="1"/>
    <col min="11014" max="11014" width="15.5703125" style="256" customWidth="1"/>
    <col min="11015" max="11260" width="9.140625" style="256"/>
    <col min="11261" max="11261" width="2.7109375" style="256" bestFit="1" customWidth="1"/>
    <col min="11262" max="11262" width="25.28515625" style="256" customWidth="1"/>
    <col min="11263" max="11263" width="9.140625" style="256"/>
    <col min="11264" max="11264" width="9.7109375" style="256" customWidth="1"/>
    <col min="11265" max="11265" width="7.7109375" style="256" customWidth="1"/>
    <col min="11266" max="11266" width="11.85546875" style="256" customWidth="1"/>
    <col min="11267" max="11267" width="11.140625" style="256" customWidth="1"/>
    <col min="11268" max="11268" width="10.28515625" style="256" customWidth="1"/>
    <col min="11269" max="11269" width="11.42578125" style="256" customWidth="1"/>
    <col min="11270" max="11270" width="15.5703125" style="256" customWidth="1"/>
    <col min="11271" max="11516" width="9.140625" style="256"/>
    <col min="11517" max="11517" width="2.7109375" style="256" bestFit="1" customWidth="1"/>
    <col min="11518" max="11518" width="25.28515625" style="256" customWidth="1"/>
    <col min="11519" max="11519" width="9.140625" style="256"/>
    <col min="11520" max="11520" width="9.7109375" style="256" customWidth="1"/>
    <col min="11521" max="11521" width="7.7109375" style="256" customWidth="1"/>
    <col min="11522" max="11522" width="11.85546875" style="256" customWidth="1"/>
    <col min="11523" max="11523" width="11.140625" style="256" customWidth="1"/>
    <col min="11524" max="11524" width="10.28515625" style="256" customWidth="1"/>
    <col min="11525" max="11525" width="11.42578125" style="256" customWidth="1"/>
    <col min="11526" max="11526" width="15.5703125" style="256" customWidth="1"/>
    <col min="11527" max="11772" width="9.140625" style="256"/>
    <col min="11773" max="11773" width="2.7109375" style="256" bestFit="1" customWidth="1"/>
    <col min="11774" max="11774" width="25.28515625" style="256" customWidth="1"/>
    <col min="11775" max="11775" width="9.140625" style="256"/>
    <col min="11776" max="11776" width="9.7109375" style="256" customWidth="1"/>
    <col min="11777" max="11777" width="7.7109375" style="256" customWidth="1"/>
    <col min="11778" max="11778" width="11.85546875" style="256" customWidth="1"/>
    <col min="11779" max="11779" width="11.140625" style="256" customWidth="1"/>
    <col min="11780" max="11780" width="10.28515625" style="256" customWidth="1"/>
    <col min="11781" max="11781" width="11.42578125" style="256" customWidth="1"/>
    <col min="11782" max="11782" width="15.5703125" style="256" customWidth="1"/>
    <col min="11783" max="12028" width="9.140625" style="256"/>
    <col min="12029" max="12029" width="2.7109375" style="256" bestFit="1" customWidth="1"/>
    <col min="12030" max="12030" width="25.28515625" style="256" customWidth="1"/>
    <col min="12031" max="12031" width="9.140625" style="256"/>
    <col min="12032" max="12032" width="9.7109375" style="256" customWidth="1"/>
    <col min="12033" max="12033" width="7.7109375" style="256" customWidth="1"/>
    <col min="12034" max="12034" width="11.85546875" style="256" customWidth="1"/>
    <col min="12035" max="12035" width="11.140625" style="256" customWidth="1"/>
    <col min="12036" max="12036" width="10.28515625" style="256" customWidth="1"/>
    <col min="12037" max="12037" width="11.42578125" style="256" customWidth="1"/>
    <col min="12038" max="12038" width="15.5703125" style="256" customWidth="1"/>
    <col min="12039" max="12284" width="9.140625" style="256"/>
    <col min="12285" max="12285" width="2.7109375" style="256" bestFit="1" customWidth="1"/>
    <col min="12286" max="12286" width="25.28515625" style="256" customWidth="1"/>
    <col min="12287" max="12287" width="9.140625" style="256"/>
    <col min="12288" max="12288" width="9.7109375" style="256" customWidth="1"/>
    <col min="12289" max="12289" width="7.7109375" style="256" customWidth="1"/>
    <col min="12290" max="12290" width="11.85546875" style="256" customWidth="1"/>
    <col min="12291" max="12291" width="11.140625" style="256" customWidth="1"/>
    <col min="12292" max="12292" width="10.28515625" style="256" customWidth="1"/>
    <col min="12293" max="12293" width="11.42578125" style="256" customWidth="1"/>
    <col min="12294" max="12294" width="15.5703125" style="256" customWidth="1"/>
    <col min="12295" max="12540" width="9.140625" style="256"/>
    <col min="12541" max="12541" width="2.7109375" style="256" bestFit="1" customWidth="1"/>
    <col min="12542" max="12542" width="25.28515625" style="256" customWidth="1"/>
    <col min="12543" max="12543" width="9.140625" style="256"/>
    <col min="12544" max="12544" width="9.7109375" style="256" customWidth="1"/>
    <col min="12545" max="12545" width="7.7109375" style="256" customWidth="1"/>
    <col min="12546" max="12546" width="11.85546875" style="256" customWidth="1"/>
    <col min="12547" max="12547" width="11.140625" style="256" customWidth="1"/>
    <col min="12548" max="12548" width="10.28515625" style="256" customWidth="1"/>
    <col min="12549" max="12549" width="11.42578125" style="256" customWidth="1"/>
    <col min="12550" max="12550" width="15.5703125" style="256" customWidth="1"/>
    <col min="12551" max="12796" width="9.140625" style="256"/>
    <col min="12797" max="12797" width="2.7109375" style="256" bestFit="1" customWidth="1"/>
    <col min="12798" max="12798" width="25.28515625" style="256" customWidth="1"/>
    <col min="12799" max="12799" width="9.140625" style="256"/>
    <col min="12800" max="12800" width="9.7109375" style="256" customWidth="1"/>
    <col min="12801" max="12801" width="7.7109375" style="256" customWidth="1"/>
    <col min="12802" max="12802" width="11.85546875" style="256" customWidth="1"/>
    <col min="12803" max="12803" width="11.140625" style="256" customWidth="1"/>
    <col min="12804" max="12804" width="10.28515625" style="256" customWidth="1"/>
    <col min="12805" max="12805" width="11.42578125" style="256" customWidth="1"/>
    <col min="12806" max="12806" width="15.5703125" style="256" customWidth="1"/>
    <col min="12807" max="13052" width="9.140625" style="256"/>
    <col min="13053" max="13053" width="2.7109375" style="256" bestFit="1" customWidth="1"/>
    <col min="13054" max="13054" width="25.28515625" style="256" customWidth="1"/>
    <col min="13055" max="13055" width="9.140625" style="256"/>
    <col min="13056" max="13056" width="9.7109375" style="256" customWidth="1"/>
    <col min="13057" max="13057" width="7.7109375" style="256" customWidth="1"/>
    <col min="13058" max="13058" width="11.85546875" style="256" customWidth="1"/>
    <col min="13059" max="13059" width="11.140625" style="256" customWidth="1"/>
    <col min="13060" max="13060" width="10.28515625" style="256" customWidth="1"/>
    <col min="13061" max="13061" width="11.42578125" style="256" customWidth="1"/>
    <col min="13062" max="13062" width="15.5703125" style="256" customWidth="1"/>
    <col min="13063" max="13308" width="9.140625" style="256"/>
    <col min="13309" max="13309" width="2.7109375" style="256" bestFit="1" customWidth="1"/>
    <col min="13310" max="13310" width="25.28515625" style="256" customWidth="1"/>
    <col min="13311" max="13311" width="9.140625" style="256"/>
    <col min="13312" max="13312" width="9.7109375" style="256" customWidth="1"/>
    <col min="13313" max="13313" width="7.7109375" style="256" customWidth="1"/>
    <col min="13314" max="13314" width="11.85546875" style="256" customWidth="1"/>
    <col min="13315" max="13315" width="11.140625" style="256" customWidth="1"/>
    <col min="13316" max="13316" width="10.28515625" style="256" customWidth="1"/>
    <col min="13317" max="13317" width="11.42578125" style="256" customWidth="1"/>
    <col min="13318" max="13318" width="15.5703125" style="256" customWidth="1"/>
    <col min="13319" max="13564" width="9.140625" style="256"/>
    <col min="13565" max="13565" width="2.7109375" style="256" bestFit="1" customWidth="1"/>
    <col min="13566" max="13566" width="25.28515625" style="256" customWidth="1"/>
    <col min="13567" max="13567" width="9.140625" style="256"/>
    <col min="13568" max="13568" width="9.7109375" style="256" customWidth="1"/>
    <col min="13569" max="13569" width="7.7109375" style="256" customWidth="1"/>
    <col min="13570" max="13570" width="11.85546875" style="256" customWidth="1"/>
    <col min="13571" max="13571" width="11.140625" style="256" customWidth="1"/>
    <col min="13572" max="13572" width="10.28515625" style="256" customWidth="1"/>
    <col min="13573" max="13573" width="11.42578125" style="256" customWidth="1"/>
    <col min="13574" max="13574" width="15.5703125" style="256" customWidth="1"/>
    <col min="13575" max="13820" width="9.140625" style="256"/>
    <col min="13821" max="13821" width="2.7109375" style="256" bestFit="1" customWidth="1"/>
    <col min="13822" max="13822" width="25.28515625" style="256" customWidth="1"/>
    <col min="13823" max="13823" width="9.140625" style="256"/>
    <col min="13824" max="13824" width="9.7109375" style="256" customWidth="1"/>
    <col min="13825" max="13825" width="7.7109375" style="256" customWidth="1"/>
    <col min="13826" max="13826" width="11.85546875" style="256" customWidth="1"/>
    <col min="13827" max="13827" width="11.140625" style="256" customWidth="1"/>
    <col min="13828" max="13828" width="10.28515625" style="256" customWidth="1"/>
    <col min="13829" max="13829" width="11.42578125" style="256" customWidth="1"/>
    <col min="13830" max="13830" width="15.5703125" style="256" customWidth="1"/>
    <col min="13831" max="14076" width="9.140625" style="256"/>
    <col min="14077" max="14077" width="2.7109375" style="256" bestFit="1" customWidth="1"/>
    <col min="14078" max="14078" width="25.28515625" style="256" customWidth="1"/>
    <col min="14079" max="14079" width="9.140625" style="256"/>
    <col min="14080" max="14080" width="9.7109375" style="256" customWidth="1"/>
    <col min="14081" max="14081" width="7.7109375" style="256" customWidth="1"/>
    <col min="14082" max="14082" width="11.85546875" style="256" customWidth="1"/>
    <col min="14083" max="14083" width="11.140625" style="256" customWidth="1"/>
    <col min="14084" max="14084" width="10.28515625" style="256" customWidth="1"/>
    <col min="14085" max="14085" width="11.42578125" style="256" customWidth="1"/>
    <col min="14086" max="14086" width="15.5703125" style="256" customWidth="1"/>
    <col min="14087" max="14332" width="9.140625" style="256"/>
    <col min="14333" max="14333" width="2.7109375" style="256" bestFit="1" customWidth="1"/>
    <col min="14334" max="14334" width="25.28515625" style="256" customWidth="1"/>
    <col min="14335" max="14335" width="9.140625" style="256"/>
    <col min="14336" max="14336" width="9.7109375" style="256" customWidth="1"/>
    <col min="14337" max="14337" width="7.7109375" style="256" customWidth="1"/>
    <col min="14338" max="14338" width="11.85546875" style="256" customWidth="1"/>
    <col min="14339" max="14339" width="11.140625" style="256" customWidth="1"/>
    <col min="14340" max="14340" width="10.28515625" style="256" customWidth="1"/>
    <col min="14341" max="14341" width="11.42578125" style="256" customWidth="1"/>
    <col min="14342" max="14342" width="15.5703125" style="256" customWidth="1"/>
    <col min="14343" max="14588" width="9.140625" style="256"/>
    <col min="14589" max="14589" width="2.7109375" style="256" bestFit="1" customWidth="1"/>
    <col min="14590" max="14590" width="25.28515625" style="256" customWidth="1"/>
    <col min="14591" max="14591" width="9.140625" style="256"/>
    <col min="14592" max="14592" width="9.7109375" style="256" customWidth="1"/>
    <col min="14593" max="14593" width="7.7109375" style="256" customWidth="1"/>
    <col min="14594" max="14594" width="11.85546875" style="256" customWidth="1"/>
    <col min="14595" max="14595" width="11.140625" style="256" customWidth="1"/>
    <col min="14596" max="14596" width="10.28515625" style="256" customWidth="1"/>
    <col min="14597" max="14597" width="11.42578125" style="256" customWidth="1"/>
    <col min="14598" max="14598" width="15.5703125" style="256" customWidth="1"/>
    <col min="14599" max="14844" width="9.140625" style="256"/>
    <col min="14845" max="14845" width="2.7109375" style="256" bestFit="1" customWidth="1"/>
    <col min="14846" max="14846" width="25.28515625" style="256" customWidth="1"/>
    <col min="14847" max="14847" width="9.140625" style="256"/>
    <col min="14848" max="14848" width="9.7109375" style="256" customWidth="1"/>
    <col min="14849" max="14849" width="7.7109375" style="256" customWidth="1"/>
    <col min="14850" max="14850" width="11.85546875" style="256" customWidth="1"/>
    <col min="14851" max="14851" width="11.140625" style="256" customWidth="1"/>
    <col min="14852" max="14852" width="10.28515625" style="256" customWidth="1"/>
    <col min="14853" max="14853" width="11.42578125" style="256" customWidth="1"/>
    <col min="14854" max="14854" width="15.5703125" style="256" customWidth="1"/>
    <col min="14855" max="15100" width="9.140625" style="256"/>
    <col min="15101" max="15101" width="2.7109375" style="256" bestFit="1" customWidth="1"/>
    <col min="15102" max="15102" width="25.28515625" style="256" customWidth="1"/>
    <col min="15103" max="15103" width="9.140625" style="256"/>
    <col min="15104" max="15104" width="9.7109375" style="256" customWidth="1"/>
    <col min="15105" max="15105" width="7.7109375" style="256" customWidth="1"/>
    <col min="15106" max="15106" width="11.85546875" style="256" customWidth="1"/>
    <col min="15107" max="15107" width="11.140625" style="256" customWidth="1"/>
    <col min="15108" max="15108" width="10.28515625" style="256" customWidth="1"/>
    <col min="15109" max="15109" width="11.42578125" style="256" customWidth="1"/>
    <col min="15110" max="15110" width="15.5703125" style="256" customWidth="1"/>
    <col min="15111" max="15356" width="9.140625" style="256"/>
    <col min="15357" max="15357" width="2.7109375" style="256" bestFit="1" customWidth="1"/>
    <col min="15358" max="15358" width="25.28515625" style="256" customWidth="1"/>
    <col min="15359" max="15359" width="9.140625" style="256"/>
    <col min="15360" max="15360" width="9.7109375" style="256" customWidth="1"/>
    <col min="15361" max="15361" width="7.7109375" style="256" customWidth="1"/>
    <col min="15362" max="15362" width="11.85546875" style="256" customWidth="1"/>
    <col min="15363" max="15363" width="11.140625" style="256" customWidth="1"/>
    <col min="15364" max="15364" width="10.28515625" style="256" customWidth="1"/>
    <col min="15365" max="15365" width="11.42578125" style="256" customWidth="1"/>
    <col min="15366" max="15366" width="15.5703125" style="256" customWidth="1"/>
    <col min="15367" max="15612" width="9.140625" style="256"/>
    <col min="15613" max="15613" width="2.7109375" style="256" bestFit="1" customWidth="1"/>
    <col min="15614" max="15614" width="25.28515625" style="256" customWidth="1"/>
    <col min="15615" max="15615" width="9.140625" style="256"/>
    <col min="15616" max="15616" width="9.7109375" style="256" customWidth="1"/>
    <col min="15617" max="15617" width="7.7109375" style="256" customWidth="1"/>
    <col min="15618" max="15618" width="11.85546875" style="256" customWidth="1"/>
    <col min="15619" max="15619" width="11.140625" style="256" customWidth="1"/>
    <col min="15620" max="15620" width="10.28515625" style="256" customWidth="1"/>
    <col min="15621" max="15621" width="11.42578125" style="256" customWidth="1"/>
    <col min="15622" max="15622" width="15.5703125" style="256" customWidth="1"/>
    <col min="15623" max="15868" width="9.140625" style="256"/>
    <col min="15869" max="15869" width="2.7109375" style="256" bestFit="1" customWidth="1"/>
    <col min="15870" max="15870" width="25.28515625" style="256" customWidth="1"/>
    <col min="15871" max="15871" width="9.140625" style="256"/>
    <col min="15872" max="15872" width="9.7109375" style="256" customWidth="1"/>
    <col min="15873" max="15873" width="7.7109375" style="256" customWidth="1"/>
    <col min="15874" max="15874" width="11.85546875" style="256" customWidth="1"/>
    <col min="15875" max="15875" width="11.140625" style="256" customWidth="1"/>
    <col min="15876" max="15876" width="10.28515625" style="256" customWidth="1"/>
    <col min="15877" max="15877" width="11.42578125" style="256" customWidth="1"/>
    <col min="15878" max="15878" width="15.5703125" style="256" customWidth="1"/>
    <col min="15879" max="16124" width="9.140625" style="256"/>
    <col min="16125" max="16125" width="2.7109375" style="256" bestFit="1" customWidth="1"/>
    <col min="16126" max="16126" width="25.28515625" style="256" customWidth="1"/>
    <col min="16127" max="16127" width="9.140625" style="256"/>
    <col min="16128" max="16128" width="9.7109375" style="256" customWidth="1"/>
    <col min="16129" max="16129" width="7.7109375" style="256" customWidth="1"/>
    <col min="16130" max="16130" width="11.85546875" style="256" customWidth="1"/>
    <col min="16131" max="16131" width="11.140625" style="256" customWidth="1"/>
    <col min="16132" max="16132" width="10.28515625" style="256" customWidth="1"/>
    <col min="16133" max="16133" width="11.42578125" style="256" customWidth="1"/>
    <col min="16134" max="16134" width="15.5703125" style="256" customWidth="1"/>
    <col min="16135" max="16384" width="9.140625" style="256"/>
  </cols>
  <sheetData>
    <row r="1" spans="1:7" s="3" customFormat="1" ht="13.5" customHeight="1" thickBot="1">
      <c r="B1" s="2" t="s">
        <v>388</v>
      </c>
      <c r="C1" s="2"/>
      <c r="D1" s="470" t="s">
        <v>1</v>
      </c>
      <c r="E1" s="471"/>
      <c r="F1" s="81">
        <v>0</v>
      </c>
    </row>
    <row r="2" spans="1:7" s="3" customFormat="1" ht="13.5" thickBot="1">
      <c r="D2" s="82"/>
      <c r="E2" s="83"/>
    </row>
    <row r="3" spans="1:7" s="3" customFormat="1" ht="12" customHeight="1">
      <c r="A3" s="472" t="s">
        <v>276</v>
      </c>
      <c r="B3" s="473"/>
      <c r="C3" s="473"/>
      <c r="D3" s="473"/>
      <c r="E3" s="465" t="s">
        <v>2</v>
      </c>
      <c r="F3" s="466"/>
    </row>
    <row r="4" spans="1:7" s="3" customFormat="1" ht="51.75" thickBot="1">
      <c r="A4" s="372" t="s">
        <v>716</v>
      </c>
      <c r="B4" s="228" t="s">
        <v>3</v>
      </c>
      <c r="C4" s="228" t="s">
        <v>4</v>
      </c>
      <c r="D4" s="228" t="s">
        <v>5</v>
      </c>
      <c r="E4" s="85" t="s">
        <v>6</v>
      </c>
      <c r="F4" s="86" t="s">
        <v>7</v>
      </c>
    </row>
    <row r="5" spans="1:7" s="3" customFormat="1" ht="12.75" customHeight="1" thickTop="1">
      <c r="A5" s="17">
        <v>1</v>
      </c>
      <c r="B5" s="96" t="s">
        <v>389</v>
      </c>
      <c r="C5" s="92" t="s">
        <v>70</v>
      </c>
      <c r="D5" s="104"/>
      <c r="E5" s="94">
        <v>0</v>
      </c>
      <c r="F5" s="122">
        <f>D5*E5</f>
        <v>0</v>
      </c>
    </row>
    <row r="6" spans="1:7" s="3" customFormat="1" ht="12.75" customHeight="1">
      <c r="A6" s="17">
        <v>2</v>
      </c>
      <c r="B6" s="96" t="s">
        <v>390</v>
      </c>
      <c r="C6" s="92" t="s">
        <v>391</v>
      </c>
      <c r="D6" s="104"/>
      <c r="E6" s="94">
        <v>0</v>
      </c>
      <c r="F6" s="122">
        <f>D6*E6</f>
        <v>0</v>
      </c>
    </row>
    <row r="7" spans="1:7" s="3" customFormat="1" ht="12.75" customHeight="1">
      <c r="A7" s="17">
        <v>3</v>
      </c>
      <c r="B7" s="96" t="s">
        <v>392</v>
      </c>
      <c r="C7" s="92" t="s">
        <v>391</v>
      </c>
      <c r="D7" s="104"/>
      <c r="E7" s="94">
        <v>0</v>
      </c>
      <c r="F7" s="122">
        <f t="shared" ref="F7:F11" si="0">D7*E7</f>
        <v>0</v>
      </c>
    </row>
    <row r="8" spans="1:7" s="3" customFormat="1" ht="12.75" customHeight="1">
      <c r="A8" s="17">
        <v>4</v>
      </c>
      <c r="B8" s="96" t="s">
        <v>393</v>
      </c>
      <c r="C8" s="92" t="s">
        <v>391</v>
      </c>
      <c r="D8" s="104"/>
      <c r="E8" s="94">
        <v>0</v>
      </c>
      <c r="F8" s="122">
        <f t="shared" si="0"/>
        <v>0</v>
      </c>
    </row>
    <row r="9" spans="1:7" s="3" customFormat="1" ht="12.75" customHeight="1">
      <c r="A9" s="17">
        <v>5</v>
      </c>
      <c r="B9" s="96" t="s">
        <v>114</v>
      </c>
      <c r="C9" s="92" t="s">
        <v>391</v>
      </c>
      <c r="D9" s="88">
        <v>1.23</v>
      </c>
      <c r="E9" s="94">
        <v>18</v>
      </c>
      <c r="F9" s="122">
        <f t="shared" si="0"/>
        <v>22.14</v>
      </c>
    </row>
    <row r="10" spans="1:7" s="3" customFormat="1" ht="12.75" customHeight="1">
      <c r="A10" s="11">
        <v>6</v>
      </c>
      <c r="B10" s="54" t="s">
        <v>394</v>
      </c>
      <c r="C10" s="132" t="s">
        <v>9</v>
      </c>
      <c r="D10" s="88">
        <v>1.23</v>
      </c>
      <c r="E10" s="129">
        <v>1.42</v>
      </c>
      <c r="F10" s="122">
        <f t="shared" si="0"/>
        <v>1.7465999999999999</v>
      </c>
    </row>
    <row r="11" spans="1:7" s="3" customFormat="1" ht="12.75" customHeight="1" thickBot="1">
      <c r="A11" s="30">
        <v>7</v>
      </c>
      <c r="B11" s="96" t="s">
        <v>40</v>
      </c>
      <c r="C11" s="140" t="s">
        <v>9</v>
      </c>
      <c r="D11" s="107">
        <v>1.23</v>
      </c>
      <c r="E11" s="116">
        <v>7.5</v>
      </c>
      <c r="F11" s="109">
        <f t="shared" si="0"/>
        <v>9.2249999999999996</v>
      </c>
    </row>
    <row r="12" spans="1:7" s="3" customFormat="1" ht="12.75" customHeight="1">
      <c r="A12" s="454" t="s">
        <v>30</v>
      </c>
      <c r="B12" s="455"/>
      <c r="C12" s="110"/>
      <c r="D12" s="111"/>
      <c r="E12" s="129"/>
      <c r="F12" s="130">
        <f>SUM(F5:F11)</f>
        <v>33.111600000000003</v>
      </c>
      <c r="G12" s="240">
        <f>F1*F12</f>
        <v>0</v>
      </c>
    </row>
    <row r="13" spans="1:7" s="3" customFormat="1" ht="13.5" customHeight="1" thickBot="1">
      <c r="A13" s="467" t="s">
        <v>31</v>
      </c>
      <c r="B13" s="468"/>
      <c r="C13" s="469"/>
      <c r="D13" s="115"/>
      <c r="E13" s="181">
        <f>E9+E10+E11</f>
        <v>26.92</v>
      </c>
      <c r="F13" s="178"/>
      <c r="G13" s="249" t="s">
        <v>277</v>
      </c>
    </row>
    <row r="14" spans="1:7" s="3" customFormat="1" ht="13.5" thickBot="1">
      <c r="D14" s="82"/>
      <c r="E14" s="83"/>
    </row>
    <row r="15" spans="1:7" s="3" customFormat="1" ht="15" customHeight="1">
      <c r="A15" s="489" t="s">
        <v>680</v>
      </c>
      <c r="B15" s="490"/>
      <c r="C15" s="490"/>
      <c r="D15" s="490"/>
      <c r="E15" s="490"/>
      <c r="F15" s="491"/>
    </row>
    <row r="16" spans="1:7" s="3" customFormat="1" ht="15" customHeight="1">
      <c r="A16" s="492"/>
      <c r="B16" s="493"/>
      <c r="C16" s="493"/>
      <c r="D16" s="493"/>
      <c r="E16" s="493"/>
      <c r="F16" s="494"/>
    </row>
    <row r="17" spans="1:6" s="3" customFormat="1" ht="15" customHeight="1">
      <c r="A17" s="492"/>
      <c r="B17" s="493"/>
      <c r="C17" s="493"/>
      <c r="D17" s="493"/>
      <c r="E17" s="493"/>
      <c r="F17" s="494"/>
    </row>
    <row r="18" spans="1:6" s="3" customFormat="1" ht="15" customHeight="1" thickBot="1">
      <c r="A18" s="495"/>
      <c r="B18" s="496"/>
      <c r="C18" s="496"/>
      <c r="D18" s="496"/>
      <c r="E18" s="496"/>
      <c r="F18" s="497"/>
    </row>
    <row r="19" spans="1:6" s="3" customFormat="1" ht="13.5" thickBot="1">
      <c r="F19" s="83"/>
    </row>
    <row r="20" spans="1:6" s="3" customFormat="1" ht="13.5" thickBot="1">
      <c r="B20" s="250" t="s">
        <v>400</v>
      </c>
      <c r="C20" s="176"/>
      <c r="D20" s="251"/>
      <c r="E20" s="252"/>
      <c r="F20" s="253">
        <v>0</v>
      </c>
    </row>
    <row r="21" spans="1:6" s="3" customFormat="1" ht="11.25" customHeight="1" thickBot="1">
      <c r="F21" s="83"/>
    </row>
    <row r="22" spans="1:6" s="3" customFormat="1" ht="11.25" customHeight="1">
      <c r="A22" s="472" t="s">
        <v>276</v>
      </c>
      <c r="B22" s="473"/>
      <c r="C22" s="473"/>
      <c r="D22" s="473"/>
      <c r="E22" s="465" t="s">
        <v>2</v>
      </c>
      <c r="F22" s="466"/>
    </row>
    <row r="23" spans="1:6" s="3" customFormat="1" ht="51.75" thickBot="1">
      <c r="A23" s="84" t="s">
        <v>716</v>
      </c>
      <c r="B23" s="84" t="s">
        <v>3</v>
      </c>
      <c r="C23" s="84" t="s">
        <v>4</v>
      </c>
      <c r="D23" s="84" t="s">
        <v>5</v>
      </c>
      <c r="E23" s="85" t="s">
        <v>395</v>
      </c>
      <c r="F23" s="86" t="s">
        <v>396</v>
      </c>
    </row>
    <row r="24" spans="1:6" s="3" customFormat="1" ht="12.75" customHeight="1" thickTop="1">
      <c r="A24" s="17">
        <v>1</v>
      </c>
      <c r="B24" s="96" t="s">
        <v>397</v>
      </c>
      <c r="C24" s="92"/>
      <c r="D24" s="174"/>
      <c r="E24" s="94"/>
      <c r="F24" s="122"/>
    </row>
    <row r="25" spans="1:6" s="3" customFormat="1" ht="12.75" customHeight="1">
      <c r="A25" s="17"/>
      <c r="B25" s="91" t="s">
        <v>401</v>
      </c>
      <c r="C25" s="92"/>
      <c r="D25" s="174">
        <v>0.11</v>
      </c>
      <c r="E25" s="94">
        <v>18</v>
      </c>
      <c r="F25" s="122">
        <f>E25*D25</f>
        <v>1.98</v>
      </c>
    </row>
    <row r="26" spans="1:6" s="3" customFormat="1" ht="12.75" customHeight="1">
      <c r="A26" s="184"/>
      <c r="B26" s="91" t="s">
        <v>402</v>
      </c>
      <c r="C26" s="185"/>
      <c r="D26" s="174">
        <v>0.08</v>
      </c>
      <c r="E26" s="186">
        <v>5</v>
      </c>
      <c r="F26" s="122">
        <f t="shared" ref="F26:F33" si="1">E26*D26</f>
        <v>0.4</v>
      </c>
    </row>
    <row r="27" spans="1:6" s="3" customFormat="1" ht="12.75" customHeight="1">
      <c r="A27" s="184">
        <v>2</v>
      </c>
      <c r="B27" s="91" t="s">
        <v>403</v>
      </c>
      <c r="C27" s="185"/>
      <c r="D27" s="188"/>
      <c r="E27" s="186"/>
      <c r="F27" s="122"/>
    </row>
    <row r="28" spans="1:6" s="3" customFormat="1" ht="12.75" customHeight="1">
      <c r="A28" s="184"/>
      <c r="B28" s="91" t="s">
        <v>259</v>
      </c>
      <c r="C28" s="185"/>
      <c r="D28" s="188">
        <v>6.46</v>
      </c>
      <c r="E28" s="254">
        <v>2E-3</v>
      </c>
      <c r="F28" s="122">
        <f t="shared" si="1"/>
        <v>1.2920000000000001E-2</v>
      </c>
    </row>
    <row r="29" spans="1:6" s="3" customFormat="1" ht="12.75" customHeight="1">
      <c r="A29" s="184"/>
      <c r="B29" s="91" t="s">
        <v>404</v>
      </c>
      <c r="C29" s="185"/>
      <c r="D29" s="188">
        <v>23.66</v>
      </c>
      <c r="E29" s="254">
        <v>2E-3</v>
      </c>
      <c r="F29" s="122">
        <f t="shared" si="1"/>
        <v>4.7320000000000001E-2</v>
      </c>
    </row>
    <row r="30" spans="1:6" s="3" customFormat="1" ht="12.75" customHeight="1">
      <c r="A30" s="184"/>
      <c r="B30" s="255" t="s">
        <v>405</v>
      </c>
      <c r="C30" s="185"/>
      <c r="D30" s="363">
        <v>140.65</v>
      </c>
      <c r="E30" s="254">
        <v>2E-3</v>
      </c>
      <c r="F30" s="122">
        <f t="shared" si="1"/>
        <v>0.28129999999999999</v>
      </c>
    </row>
    <row r="31" spans="1:6" s="3" customFormat="1" ht="12.75" customHeight="1">
      <c r="A31" s="184"/>
      <c r="B31" s="255" t="s">
        <v>406</v>
      </c>
      <c r="C31" s="185"/>
      <c r="D31" s="363">
        <v>11.3</v>
      </c>
      <c r="E31" s="254">
        <v>1E-3</v>
      </c>
      <c r="F31" s="122">
        <f t="shared" si="1"/>
        <v>1.1300000000000001E-2</v>
      </c>
    </row>
    <row r="32" spans="1:6" s="3" customFormat="1" ht="12.75" customHeight="1">
      <c r="A32" s="184"/>
      <c r="B32" s="255" t="s">
        <v>407</v>
      </c>
      <c r="C32" s="185"/>
      <c r="D32" s="363">
        <v>44.09</v>
      </c>
      <c r="E32" s="254">
        <v>1E-3</v>
      </c>
      <c r="F32" s="122">
        <f t="shared" si="1"/>
        <v>4.4090000000000004E-2</v>
      </c>
    </row>
    <row r="33" spans="1:7" s="3" customFormat="1" ht="12.75" customHeight="1" thickBot="1">
      <c r="A33" s="30">
        <v>3</v>
      </c>
      <c r="B33" s="105" t="s">
        <v>408</v>
      </c>
      <c r="C33" s="106"/>
      <c r="D33" s="364"/>
      <c r="E33" s="108">
        <v>0</v>
      </c>
      <c r="F33" s="109">
        <f t="shared" si="1"/>
        <v>0</v>
      </c>
    </row>
    <row r="34" spans="1:7" s="3" customFormat="1" ht="11.25" customHeight="1">
      <c r="A34" s="454" t="s">
        <v>30</v>
      </c>
      <c r="B34" s="455"/>
      <c r="C34" s="110"/>
      <c r="D34" s="202"/>
      <c r="E34" s="203"/>
      <c r="F34" s="204">
        <f>SUM(F24:F33)</f>
        <v>2.7769299999999997</v>
      </c>
      <c r="G34" s="240">
        <f>F20*F34</f>
        <v>0</v>
      </c>
    </row>
    <row r="35" spans="1:7" s="3" customFormat="1" ht="11.25" customHeight="1" thickBot="1">
      <c r="A35" s="467" t="s">
        <v>31</v>
      </c>
      <c r="B35" s="468"/>
      <c r="C35" s="469"/>
      <c r="D35" s="105"/>
      <c r="E35" s="205">
        <f>E33</f>
        <v>0</v>
      </c>
      <c r="F35" s="206"/>
      <c r="G35" s="249" t="s">
        <v>277</v>
      </c>
    </row>
    <row r="36" spans="1:7" s="3" customFormat="1" ht="11.25" customHeight="1" thickBot="1">
      <c r="F36" s="83"/>
    </row>
    <row r="37" spans="1:7" s="3" customFormat="1" ht="15" customHeight="1">
      <c r="A37" s="489" t="s">
        <v>681</v>
      </c>
      <c r="B37" s="490"/>
      <c r="C37" s="490"/>
      <c r="D37" s="490"/>
      <c r="E37" s="490"/>
      <c r="F37" s="491"/>
    </row>
    <row r="38" spans="1:7" s="3" customFormat="1" ht="15" customHeight="1">
      <c r="A38" s="492"/>
      <c r="B38" s="493"/>
      <c r="C38" s="493"/>
      <c r="D38" s="493"/>
      <c r="E38" s="493"/>
      <c r="F38" s="494"/>
    </row>
    <row r="39" spans="1:7" s="3" customFormat="1" ht="15" customHeight="1" thickBot="1">
      <c r="A39" s="495"/>
      <c r="B39" s="496"/>
      <c r="C39" s="496"/>
      <c r="D39" s="496"/>
      <c r="E39" s="496"/>
      <c r="F39" s="497"/>
    </row>
    <row r="40" spans="1:7" s="3" customFormat="1">
      <c r="A40" s="256"/>
      <c r="B40" s="256"/>
      <c r="C40" s="256"/>
      <c r="D40" s="256"/>
      <c r="E40" s="256"/>
      <c r="F40" s="256"/>
    </row>
    <row r="41" spans="1:7" s="3" customFormat="1">
      <c r="A41" s="256"/>
      <c r="B41" s="256"/>
      <c r="C41" s="256"/>
      <c r="D41" s="256"/>
      <c r="E41" s="256"/>
      <c r="F41" s="256"/>
    </row>
    <row r="42" spans="1:7" s="3" customFormat="1" ht="11.25" customHeight="1">
      <c r="A42" s="256"/>
      <c r="B42" s="256"/>
      <c r="C42" s="256"/>
      <c r="D42" s="256"/>
      <c r="E42" s="256"/>
      <c r="F42" s="256"/>
    </row>
  </sheetData>
  <mergeCells count="11">
    <mergeCell ref="D1:E1"/>
    <mergeCell ref="A37:F39"/>
    <mergeCell ref="A34:B34"/>
    <mergeCell ref="A35:C35"/>
    <mergeCell ref="A22:D22"/>
    <mergeCell ref="E22:F22"/>
    <mergeCell ref="A3:D3"/>
    <mergeCell ref="E3:F3"/>
    <mergeCell ref="A12:B12"/>
    <mergeCell ref="A13:C13"/>
    <mergeCell ref="A15:F18"/>
  </mergeCells>
  <pageMargins left="0.7" right="0.7" top="0.75" bottom="0.75" header="0.3" footer="0.3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64"/>
  <sheetViews>
    <sheetView workbookViewId="0">
      <pane ySplit="3" topLeftCell="A4" activePane="bottomLeft" state="frozen"/>
      <selection activeCell="G1" sqref="G1"/>
      <selection pane="bottomLeft" activeCell="B4" sqref="B4"/>
    </sheetView>
  </sheetViews>
  <sheetFormatPr defaultRowHeight="12.75"/>
  <cols>
    <col min="1" max="1" width="5.85546875" style="277" customWidth="1"/>
    <col min="2" max="2" width="23.7109375" style="277" bestFit="1" customWidth="1"/>
    <col min="3" max="26" width="9.140625" style="277"/>
    <col min="27" max="27" width="10.5703125" style="277" bestFit="1" customWidth="1"/>
    <col min="28" max="28" width="9.28515625" style="277" bestFit="1" customWidth="1"/>
    <col min="29" max="16384" width="9.140625" style="277"/>
  </cols>
  <sheetData>
    <row r="1" spans="1:28" ht="15" customHeight="1">
      <c r="A1" s="526" t="s">
        <v>603</v>
      </c>
      <c r="B1" s="529" t="s">
        <v>556</v>
      </c>
      <c r="C1" s="536" t="s">
        <v>601</v>
      </c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  <c r="AA1" s="532" t="s">
        <v>277</v>
      </c>
      <c r="AB1" s="533"/>
    </row>
    <row r="2" spans="1:28">
      <c r="A2" s="527"/>
      <c r="B2" s="530"/>
      <c r="C2" s="544" t="s">
        <v>602</v>
      </c>
      <c r="D2" s="543"/>
      <c r="E2" s="542" t="s">
        <v>18</v>
      </c>
      <c r="F2" s="543"/>
      <c r="G2" s="542" t="s">
        <v>70</v>
      </c>
      <c r="H2" s="543"/>
      <c r="I2" s="542" t="s">
        <v>45</v>
      </c>
      <c r="J2" s="543"/>
      <c r="K2" s="542" t="s">
        <v>21</v>
      </c>
      <c r="L2" s="543"/>
      <c r="M2" s="542" t="s">
        <v>54</v>
      </c>
      <c r="N2" s="543"/>
      <c r="O2" s="542" t="s">
        <v>34</v>
      </c>
      <c r="P2" s="543"/>
      <c r="Q2" s="542" t="s">
        <v>96</v>
      </c>
      <c r="R2" s="543"/>
      <c r="S2" s="542" t="s">
        <v>42</v>
      </c>
      <c r="T2" s="543"/>
      <c r="U2" s="542" t="s">
        <v>9</v>
      </c>
      <c r="V2" s="543"/>
      <c r="W2" s="542" t="s">
        <v>43</v>
      </c>
      <c r="X2" s="543"/>
      <c r="Y2" s="542" t="s">
        <v>399</v>
      </c>
      <c r="Z2" s="544"/>
      <c r="AA2" s="534"/>
      <c r="AB2" s="535"/>
    </row>
    <row r="3" spans="1:28" ht="26.25" thickBot="1">
      <c r="A3" s="528"/>
      <c r="B3" s="531"/>
      <c r="C3" s="278" t="s">
        <v>606</v>
      </c>
      <c r="D3" s="276" t="s">
        <v>640</v>
      </c>
      <c r="E3" s="279" t="s">
        <v>606</v>
      </c>
      <c r="F3" s="276" t="s">
        <v>640</v>
      </c>
      <c r="G3" s="279" t="s">
        <v>606</v>
      </c>
      <c r="H3" s="276" t="s">
        <v>640</v>
      </c>
      <c r="I3" s="279" t="s">
        <v>606</v>
      </c>
      <c r="J3" s="276" t="s">
        <v>640</v>
      </c>
      <c r="K3" s="279" t="s">
        <v>606</v>
      </c>
      <c r="L3" s="276" t="s">
        <v>640</v>
      </c>
      <c r="M3" s="279" t="s">
        <v>606</v>
      </c>
      <c r="N3" s="276" t="s">
        <v>640</v>
      </c>
      <c r="O3" s="279" t="s">
        <v>606</v>
      </c>
      <c r="P3" s="276" t="s">
        <v>640</v>
      </c>
      <c r="Q3" s="279" t="s">
        <v>606</v>
      </c>
      <c r="R3" s="276" t="s">
        <v>640</v>
      </c>
      <c r="S3" s="279" t="s">
        <v>606</v>
      </c>
      <c r="T3" s="276" t="s">
        <v>640</v>
      </c>
      <c r="U3" s="279" t="s">
        <v>606</v>
      </c>
      <c r="V3" s="276" t="s">
        <v>640</v>
      </c>
      <c r="W3" s="279" t="s">
        <v>606</v>
      </c>
      <c r="X3" s="276" t="s">
        <v>640</v>
      </c>
      <c r="Y3" s="279" t="s">
        <v>606</v>
      </c>
      <c r="Z3" s="276" t="s">
        <v>640</v>
      </c>
      <c r="AA3" s="280" t="s">
        <v>606</v>
      </c>
      <c r="AB3" s="281" t="s">
        <v>607</v>
      </c>
    </row>
    <row r="4" spans="1:28" ht="13.5" thickTop="1">
      <c r="A4" s="282">
        <v>1</v>
      </c>
      <c r="B4" s="283" t="s">
        <v>557</v>
      </c>
      <c r="C4" s="284">
        <f>U4</f>
        <v>225.6146</v>
      </c>
      <c r="D4" s="285"/>
      <c r="E4" s="286">
        <f>U4+Usevi!F14+Usevi!F15+Usevi!F16</f>
        <v>280.07459999999998</v>
      </c>
      <c r="F4" s="285"/>
      <c r="G4" s="286">
        <f>E4</f>
        <v>280.07459999999998</v>
      </c>
      <c r="H4" s="285"/>
      <c r="I4" s="286">
        <f>E4</f>
        <v>280.07459999999998</v>
      </c>
      <c r="J4" s="285"/>
      <c r="K4" s="287">
        <f>E4+Usevi!F17+Usevi!F18+Usevi!F19+Usevi!F20+Usevi!F21</f>
        <v>298.84139999999996</v>
      </c>
      <c r="L4" s="285"/>
      <c r="M4" s="286">
        <f>K4</f>
        <v>298.84139999999996</v>
      </c>
      <c r="N4" s="285"/>
      <c r="O4" s="286">
        <v>0</v>
      </c>
      <c r="P4" s="285"/>
      <c r="Q4" s="286">
        <v>0</v>
      </c>
      <c r="R4" s="285"/>
      <c r="S4" s="286">
        <v>0</v>
      </c>
      <c r="T4" s="285"/>
      <c r="U4" s="286">
        <f>Usevi!F5+Usevi!F6+Usevi!F7+Usevi!F8+Usevi!F9+Usevi!F10+Usevi!F11+Usevi!F12+Usevi!F13</f>
        <v>225.6146</v>
      </c>
      <c r="V4" s="285"/>
      <c r="W4" s="286">
        <f>U4</f>
        <v>225.6146</v>
      </c>
      <c r="X4" s="288"/>
      <c r="Y4" s="289">
        <f>U4</f>
        <v>225.6146</v>
      </c>
      <c r="Z4" s="288"/>
      <c r="AA4" s="290">
        <f>C4*D4+E4*F4+G4*H4+I4*J4+K4*L4+M4*N4+O4*P4+Q4*R4+S4*T4+U4*V4+W4*X4+Y4*Z4</f>
        <v>0</v>
      </c>
      <c r="AB4" s="291">
        <f>D4+F4+H4+J4+L4+N4+P4+R4+T4+V4+X4+Z4</f>
        <v>0</v>
      </c>
    </row>
    <row r="5" spans="1:28">
      <c r="A5" s="292">
        <v>2</v>
      </c>
      <c r="B5" s="293" t="s">
        <v>558</v>
      </c>
      <c r="C5" s="334">
        <f>U5</f>
        <v>269.10979999999995</v>
      </c>
      <c r="D5" s="295"/>
      <c r="E5" s="296">
        <f>U5+Usevi!F49+Usevi!F50+Usevi!F51</f>
        <v>323.56979999999999</v>
      </c>
      <c r="F5" s="295"/>
      <c r="G5" s="296">
        <f>E5</f>
        <v>323.56979999999999</v>
      </c>
      <c r="H5" s="295"/>
      <c r="I5" s="296">
        <f>E5</f>
        <v>323.56979999999999</v>
      </c>
      <c r="J5" s="295"/>
      <c r="K5" s="297">
        <f>E5+Usevi!F52+Usevi!F53+Usevi!F54+Usevi!F55+Usevi!F56</f>
        <v>342.33659999999998</v>
      </c>
      <c r="L5" s="295"/>
      <c r="M5" s="296">
        <f>K5</f>
        <v>342.33659999999998</v>
      </c>
      <c r="N5" s="295"/>
      <c r="O5" s="296">
        <v>0</v>
      </c>
      <c r="P5" s="295"/>
      <c r="Q5" s="296">
        <v>0</v>
      </c>
      <c r="R5" s="295"/>
      <c r="S5" s="296">
        <v>0</v>
      </c>
      <c r="T5" s="295"/>
      <c r="U5" s="296">
        <f>Usevi!F40+Usevi!F41+Usevi!F42+Usevi!F43+Usevi!F44+Usevi!F45+Usevi!F46+Usevi!F47+Usevi!F48</f>
        <v>269.10979999999995</v>
      </c>
      <c r="V5" s="295"/>
      <c r="W5" s="296">
        <f>U5</f>
        <v>269.10979999999995</v>
      </c>
      <c r="X5" s="298"/>
      <c r="Y5" s="299">
        <f>U5</f>
        <v>269.10979999999995</v>
      </c>
      <c r="Z5" s="298"/>
      <c r="AA5" s="300">
        <f t="shared" ref="AA5:AA63" si="0">C5*D5+E5*F5+G5*H5+I5*J5+K5*L5+M5*N5+O5*P5+Q5*R5+S5*T5+U5*V5+W5*X5+Y5*Z5</f>
        <v>0</v>
      </c>
      <c r="AB5" s="301">
        <f t="shared" ref="AB5:AB53" si="1">D5+F5+H5+J5+L5+N5+P5+R5+T5+V5+X5+Z5</f>
        <v>0</v>
      </c>
    </row>
    <row r="6" spans="1:28">
      <c r="A6" s="292">
        <v>3</v>
      </c>
      <c r="B6" s="293" t="s">
        <v>559</v>
      </c>
      <c r="C6" s="294">
        <f>U6</f>
        <v>241.90979999999999</v>
      </c>
      <c r="D6" s="295"/>
      <c r="E6" s="296">
        <f>U6+Usevi!F82+Usevi!F83+Usevi!F84</f>
        <v>296.3698</v>
      </c>
      <c r="F6" s="295"/>
      <c r="G6" s="296">
        <f>E6</f>
        <v>296.3698</v>
      </c>
      <c r="H6" s="295"/>
      <c r="I6" s="296">
        <f>E6</f>
        <v>296.3698</v>
      </c>
      <c r="J6" s="295"/>
      <c r="K6" s="297">
        <f>E6+Usevi!F85+Usevi!F86+Usevi!F87+Usevi!F88+Usevi!F89</f>
        <v>315.13659999999999</v>
      </c>
      <c r="L6" s="295"/>
      <c r="M6" s="296">
        <f>K6</f>
        <v>315.13659999999999</v>
      </c>
      <c r="N6" s="295"/>
      <c r="O6" s="296">
        <v>0</v>
      </c>
      <c r="P6" s="295"/>
      <c r="Q6" s="296">
        <v>0</v>
      </c>
      <c r="R6" s="295"/>
      <c r="S6" s="296">
        <v>0</v>
      </c>
      <c r="T6" s="295"/>
      <c r="U6" s="296">
        <f>Usevi!F73+Usevi!F74+Usevi!F75+Usevi!F76+Usevi!F77+Usevi!F78+Usevi!F79+Usevi!F80+Usevi!F81</f>
        <v>241.90979999999999</v>
      </c>
      <c r="V6" s="295"/>
      <c r="W6" s="296">
        <f>U6</f>
        <v>241.90979999999999</v>
      </c>
      <c r="X6" s="298"/>
      <c r="Y6" s="299">
        <f>U6</f>
        <v>241.90979999999999</v>
      </c>
      <c r="Z6" s="298"/>
      <c r="AA6" s="300">
        <f t="shared" si="0"/>
        <v>0</v>
      </c>
      <c r="AB6" s="301">
        <f t="shared" si="1"/>
        <v>0</v>
      </c>
    </row>
    <row r="7" spans="1:28">
      <c r="A7" s="292">
        <v>4</v>
      </c>
      <c r="B7" s="293" t="s">
        <v>560</v>
      </c>
      <c r="C7" s="294">
        <f>W7</f>
        <v>204.97439999999997</v>
      </c>
      <c r="D7" s="295"/>
      <c r="E7" s="296">
        <f>W7</f>
        <v>204.97439999999997</v>
      </c>
      <c r="F7" s="295"/>
      <c r="G7" s="296">
        <f>W7</f>
        <v>204.97439999999997</v>
      </c>
      <c r="H7" s="295"/>
      <c r="I7" s="296">
        <f>W7+Usevi!F115+Usevi!F116+Usevi!F117+Usevi!F118+Usevi!F119+Usevi!F120+Usevi!F121+Usevi!F122+Usevi!F123+Usevi!F124</f>
        <v>325.4797999999999</v>
      </c>
      <c r="J7" s="295"/>
      <c r="K7" s="297">
        <f>Usevi!F107+Usevi!F108+Usevi!F109+Usevi!F110+Usevi!F111+Usevi!F112+Usevi!F113+Usevi!F114+Usevi!F115+Usevi!F116+Usevi!F117+Usevi!F118+Usevi!F119+Usevi!F120+Usevi!F121+Usevi!F122+Usevi!F123+Usevi!F124+Usevi!F125+Usevi!F126+Usevi!F127</f>
        <v>394.1783999999999</v>
      </c>
      <c r="L7" s="295"/>
      <c r="M7" s="296">
        <f>K7+Usevi!F128</f>
        <v>397.57319999999987</v>
      </c>
      <c r="N7" s="298"/>
      <c r="O7" s="296">
        <f>M7</f>
        <v>397.57319999999987</v>
      </c>
      <c r="P7" s="302"/>
      <c r="Q7" s="296">
        <f>O7</f>
        <v>397.57319999999987</v>
      </c>
      <c r="R7" s="302"/>
      <c r="S7" s="296">
        <f>Q7</f>
        <v>397.57319999999987</v>
      </c>
      <c r="T7" s="295"/>
      <c r="U7" s="296">
        <f>Usevi!F107+Usevi!F108+Usevi!F109+Usevi!F110</f>
        <v>70.282199999999989</v>
      </c>
      <c r="V7" s="295"/>
      <c r="W7" s="296">
        <f>U7+Usevi!F111+Usevi!F112+Usevi!F113+Usevi!F114</f>
        <v>204.97439999999997</v>
      </c>
      <c r="X7" s="295"/>
      <c r="Y7" s="296">
        <f t="shared" ref="Y7:Y13" si="2">W7</f>
        <v>204.97439999999997</v>
      </c>
      <c r="Z7" s="298"/>
      <c r="AA7" s="300">
        <f t="shared" si="0"/>
        <v>0</v>
      </c>
      <c r="AB7" s="301">
        <f t="shared" si="1"/>
        <v>0</v>
      </c>
    </row>
    <row r="8" spans="1:28">
      <c r="A8" s="292">
        <v>5</v>
      </c>
      <c r="B8" s="293" t="s">
        <v>532</v>
      </c>
      <c r="C8" s="294">
        <f t="shared" ref="C8:C32" si="3">Y8</f>
        <v>204.97439999999997</v>
      </c>
      <c r="D8" s="295"/>
      <c r="E8" s="296">
        <f t="shared" ref="E8:E13" si="4">C8</f>
        <v>204.97439999999997</v>
      </c>
      <c r="F8" s="295"/>
      <c r="G8" s="296">
        <f>E8</f>
        <v>204.97439999999997</v>
      </c>
      <c r="H8" s="295"/>
      <c r="I8" s="296">
        <f>G8+Usevi!F150+Usevi!F151+Usevi!F152+Usevi!F153+Usevi!F154+Usevi!F155+Usevi!F156+Usevi!F157+Usevi!F158+Usevi!F159</f>
        <v>325.4797999999999</v>
      </c>
      <c r="J8" s="295"/>
      <c r="K8" s="297">
        <f>Usevi!F142+Usevi!F143+Usevi!F144+Usevi!F145+Usevi!F146+Usevi!F147+Usevi!F148+Usevi!F149+Usevi!F150+Usevi!F151+Usevi!F152+Usevi!F153+Usevi!F154+Usevi!F155+Usevi!F156+Usevi!F157+Usevi!F158+Usevi!F159+Usevi!F160+Usevi!F161+Usevi!F162</f>
        <v>394.1783999999999</v>
      </c>
      <c r="L8" s="295"/>
      <c r="M8" s="296">
        <f>K8+Usevi!F163</f>
        <v>397.57319999999987</v>
      </c>
      <c r="N8" s="295"/>
      <c r="O8" s="296">
        <f>M8</f>
        <v>397.57319999999987</v>
      </c>
      <c r="P8" s="295"/>
      <c r="Q8" s="296">
        <f>O8</f>
        <v>397.57319999999987</v>
      </c>
      <c r="R8" s="295"/>
      <c r="S8" s="296">
        <f>Usevi!F142+Usevi!F143+Usevi!F144+Usevi!F145</f>
        <v>70.282199999999989</v>
      </c>
      <c r="T8" s="295"/>
      <c r="U8" s="296">
        <f>S8</f>
        <v>70.282199999999989</v>
      </c>
      <c r="V8" s="295"/>
      <c r="W8" s="296">
        <f>U8+Usevi!F146+Usevi!F147+Usevi!F148+Usevi!F149</f>
        <v>204.97439999999997</v>
      </c>
      <c r="X8" s="298"/>
      <c r="Y8" s="299">
        <f t="shared" si="2"/>
        <v>204.97439999999997</v>
      </c>
      <c r="Z8" s="298"/>
      <c r="AA8" s="300">
        <f t="shared" si="0"/>
        <v>0</v>
      </c>
      <c r="AB8" s="301">
        <f t="shared" si="1"/>
        <v>0</v>
      </c>
    </row>
    <row r="9" spans="1:28">
      <c r="A9" s="292">
        <v>6</v>
      </c>
      <c r="B9" s="293" t="s">
        <v>561</v>
      </c>
      <c r="C9" s="294">
        <f t="shared" si="3"/>
        <v>99.175600000000003</v>
      </c>
      <c r="D9" s="295"/>
      <c r="E9" s="296">
        <f t="shared" si="4"/>
        <v>99.175600000000003</v>
      </c>
      <c r="F9" s="295"/>
      <c r="G9" s="296">
        <f>E9</f>
        <v>99.175600000000003</v>
      </c>
      <c r="H9" s="295"/>
      <c r="I9" s="296">
        <f>G9+Usevi!F183+Usevi!F184+Usevi!F185+Usevi!F186+Usevi!F187/2+Usevi!F188/2</f>
        <v>197.941</v>
      </c>
      <c r="J9" s="295"/>
      <c r="K9" s="297">
        <f>I9+Usevi!F193+Usevi!F194+Usevi!F195</f>
        <v>254.49199999999999</v>
      </c>
      <c r="L9" s="295"/>
      <c r="M9" s="296">
        <f>K9+Usevi!F187/2+Usevi!F188/2+Usevi!F196</f>
        <v>260.19919999999996</v>
      </c>
      <c r="N9" s="295"/>
      <c r="O9" s="296">
        <f>M9</f>
        <v>260.19919999999996</v>
      </c>
      <c r="P9" s="295"/>
      <c r="Q9" s="296">
        <f>O9</f>
        <v>260.19919999999996</v>
      </c>
      <c r="R9" s="295"/>
      <c r="S9" s="296">
        <v>0</v>
      </c>
      <c r="T9" s="295"/>
      <c r="U9" s="296">
        <v>0</v>
      </c>
      <c r="V9" s="295"/>
      <c r="W9" s="296">
        <f>Usevi!F179+Usevi!F180+Usevi!F181+Usevi!F182</f>
        <v>99.175600000000003</v>
      </c>
      <c r="X9" s="298"/>
      <c r="Y9" s="299">
        <f t="shared" si="2"/>
        <v>99.175600000000003</v>
      </c>
      <c r="Z9" s="298"/>
      <c r="AA9" s="300">
        <f t="shared" si="0"/>
        <v>0</v>
      </c>
      <c r="AB9" s="301">
        <f t="shared" si="1"/>
        <v>0</v>
      </c>
    </row>
    <row r="10" spans="1:28">
      <c r="A10" s="292">
        <v>7</v>
      </c>
      <c r="B10" s="293" t="s">
        <v>562</v>
      </c>
      <c r="C10" s="294">
        <f t="shared" si="3"/>
        <v>271.00759999999997</v>
      </c>
      <c r="D10" s="295"/>
      <c r="E10" s="296">
        <f t="shared" si="4"/>
        <v>271.00759999999997</v>
      </c>
      <c r="F10" s="295"/>
      <c r="G10" s="296">
        <f>E10+Usevi!F218+Usevi!F219+Usevi!F220+Usevi!F221+Usevi!F222+Usevi!F223</f>
        <v>539.16309999999999</v>
      </c>
      <c r="H10" s="295"/>
      <c r="I10" s="296">
        <f>G10+Usevi!F224/6+Usevi!F225/6+Usevi!F226/2</f>
        <v>589.4754999999999</v>
      </c>
      <c r="J10" s="295"/>
      <c r="K10" s="297">
        <f>I10+Usevi!F224/6+Usevi!F225/6+Usevi!F226/2+Usevi!F232+Usevi!F233</f>
        <v>643.72389999999973</v>
      </c>
      <c r="L10" s="295"/>
      <c r="M10" s="296">
        <f>K10+Usevi!F224/6*2+Usevi!F225/6*2+Usevi!F228</f>
        <v>677.48869999999977</v>
      </c>
      <c r="N10" s="295"/>
      <c r="O10" s="296">
        <f>M10+Usevi!F224/6+Usevi!F225/6+Usevi!F227</f>
        <v>714.24109999999973</v>
      </c>
      <c r="P10" s="295"/>
      <c r="Q10" s="296">
        <f>O10+Usevi!F224/6+Usevi!F225/6+Usevi!F229</f>
        <v>735.1954999999997</v>
      </c>
      <c r="R10" s="295"/>
      <c r="S10" s="296">
        <f>Q10</f>
        <v>735.1954999999997</v>
      </c>
      <c r="T10" s="295"/>
      <c r="U10" s="296">
        <f>Usevi!F210+Usevi!F211+Usevi!F212+Usevi!F213</f>
        <v>70.282199999999989</v>
      </c>
      <c r="V10" s="295"/>
      <c r="W10" s="296">
        <f>'Zalihe na parceli'!U10+Usevi!F214+Usevi!F215+Usevi!F216+Usevi!F217</f>
        <v>271.00759999999997</v>
      </c>
      <c r="X10" s="298"/>
      <c r="Y10" s="299">
        <f t="shared" si="2"/>
        <v>271.00759999999997</v>
      </c>
      <c r="Z10" s="298"/>
      <c r="AA10" s="300">
        <f t="shared" si="0"/>
        <v>0</v>
      </c>
      <c r="AB10" s="301">
        <f t="shared" si="1"/>
        <v>0</v>
      </c>
    </row>
    <row r="11" spans="1:28">
      <c r="A11" s="292">
        <v>8</v>
      </c>
      <c r="B11" s="293" t="s">
        <v>563</v>
      </c>
      <c r="C11" s="294">
        <f t="shared" si="3"/>
        <v>123.596</v>
      </c>
      <c r="D11" s="295"/>
      <c r="E11" s="296">
        <f t="shared" si="4"/>
        <v>123.596</v>
      </c>
      <c r="F11" s="295"/>
      <c r="G11" s="296">
        <f>E11</f>
        <v>123.596</v>
      </c>
      <c r="H11" s="295"/>
      <c r="I11" s="296">
        <f>G11+Usevi!F253+Usevi!F254+Usevi!F255+Usevi!F256+Usevi!F257+Usevi!F258+Usevi!F259+Usevi!F260+Usevi!F261+Usevi!F262+Usevi!F263</f>
        <v>319.64299999999997</v>
      </c>
      <c r="J11" s="295"/>
      <c r="K11" s="297">
        <f>I11+Usevi!F264</f>
        <v>321.61099999999999</v>
      </c>
      <c r="L11" s="295"/>
      <c r="M11" s="296">
        <f>K11+Usevi!F265+Usevi!F266+Usevi!F267+Usevi!F268+Usevi!F269+Usevi!F270+Usevi!F271+Usevi!F272+Usevi!F273</f>
        <v>376.57269999999994</v>
      </c>
      <c r="N11" s="295"/>
      <c r="O11" s="296">
        <f>M11</f>
        <v>376.57269999999994</v>
      </c>
      <c r="P11" s="295"/>
      <c r="Q11" s="296">
        <f>O11</f>
        <v>376.57269999999994</v>
      </c>
      <c r="R11" s="295"/>
      <c r="S11" s="296">
        <f>Q11</f>
        <v>376.57269999999994</v>
      </c>
      <c r="T11" s="295"/>
      <c r="U11" s="296">
        <f>Usevi!F247+Usevi!F248</f>
        <v>26.420399999999997</v>
      </c>
      <c r="V11" s="295"/>
      <c r="W11" s="296">
        <f>U11+Usevi!F249+Usevi!F250+Usevi!F251+Usevi!F252</f>
        <v>123.596</v>
      </c>
      <c r="X11" s="298"/>
      <c r="Y11" s="299">
        <f t="shared" si="2"/>
        <v>123.596</v>
      </c>
      <c r="Z11" s="298"/>
      <c r="AA11" s="300">
        <f t="shared" si="0"/>
        <v>0</v>
      </c>
      <c r="AB11" s="301">
        <f t="shared" si="1"/>
        <v>0</v>
      </c>
    </row>
    <row r="12" spans="1:28">
      <c r="A12" s="292">
        <v>9</v>
      </c>
      <c r="B12" s="293" t="s">
        <v>564</v>
      </c>
      <c r="C12" s="294">
        <f t="shared" si="3"/>
        <v>313.37539999999996</v>
      </c>
      <c r="D12" s="295"/>
      <c r="E12" s="296">
        <f t="shared" si="4"/>
        <v>313.37539999999996</v>
      </c>
      <c r="F12" s="295"/>
      <c r="G12" s="296">
        <f>E12</f>
        <v>313.37539999999996</v>
      </c>
      <c r="H12" s="295"/>
      <c r="I12" s="296">
        <f>G12</f>
        <v>313.37539999999996</v>
      </c>
      <c r="J12" s="295"/>
      <c r="K12" s="297">
        <f>I12</f>
        <v>313.37539999999996</v>
      </c>
      <c r="L12" s="295"/>
      <c r="M12" s="296">
        <f>K12</f>
        <v>313.37539999999996</v>
      </c>
      <c r="N12" s="295"/>
      <c r="O12" s="296">
        <v>0</v>
      </c>
      <c r="P12" s="295"/>
      <c r="Q12" s="296">
        <v>0</v>
      </c>
      <c r="R12" s="295"/>
      <c r="S12" s="296">
        <v>0</v>
      </c>
      <c r="T12" s="295"/>
      <c r="U12" s="296">
        <f>Usevi!F287+Usevi!F288+Usevi!F289+Usevi!F290+Usevi!F291+Usevi!F292+Usevi!F293+Usevi!F294+Usevi!F295+Usevi!F296+Usevi!F297+Usevi!F298+Usevi!F299+Usevi!F300+Usevi!F301</f>
        <v>313.37539999999996</v>
      </c>
      <c r="V12" s="295"/>
      <c r="W12" s="296">
        <f>U12</f>
        <v>313.37539999999996</v>
      </c>
      <c r="X12" s="298"/>
      <c r="Y12" s="299">
        <f t="shared" si="2"/>
        <v>313.37539999999996</v>
      </c>
      <c r="Z12" s="298"/>
      <c r="AA12" s="300">
        <f t="shared" si="0"/>
        <v>0</v>
      </c>
      <c r="AB12" s="301">
        <f t="shared" si="1"/>
        <v>0</v>
      </c>
    </row>
    <row r="13" spans="1:28">
      <c r="A13" s="292">
        <v>10</v>
      </c>
      <c r="B13" s="293" t="s">
        <v>565</v>
      </c>
      <c r="C13" s="294">
        <f t="shared" si="3"/>
        <v>65.487700000000004</v>
      </c>
      <c r="D13" s="295"/>
      <c r="E13" s="296">
        <f t="shared" si="4"/>
        <v>65.487700000000004</v>
      </c>
      <c r="F13" s="295"/>
      <c r="G13" s="296">
        <f>E13+Usevi!F325+Usevi!F326+Usevi!F327+Usevi!F328+Usevi!F329+Usevi!F330+Usevi!F331</f>
        <v>89.25500000000001</v>
      </c>
      <c r="H13" s="295"/>
      <c r="I13" s="296">
        <f>G13</f>
        <v>89.25500000000001</v>
      </c>
      <c r="J13" s="295"/>
      <c r="K13" s="297">
        <f>I13</f>
        <v>89.25500000000001</v>
      </c>
      <c r="L13" s="295"/>
      <c r="M13" s="296">
        <f>K13</f>
        <v>89.25500000000001</v>
      </c>
      <c r="N13" s="295"/>
      <c r="O13" s="296">
        <f>M13</f>
        <v>89.25500000000001</v>
      </c>
      <c r="P13" s="295"/>
      <c r="Q13" s="296">
        <f>O13</f>
        <v>89.25500000000001</v>
      </c>
      <c r="R13" s="295"/>
      <c r="S13" s="296">
        <f>Q13</f>
        <v>89.25500000000001</v>
      </c>
      <c r="T13" s="295"/>
      <c r="U13" s="296">
        <f>Usevi!F316+Usevi!F317+Usevi!F318+Usevi!F319+Usevi!F320+Usevi!F321+Usevi!F322+Usevi!F323+Usevi!F324</f>
        <v>65.487700000000004</v>
      </c>
      <c r="V13" s="295"/>
      <c r="W13" s="296">
        <f>U13</f>
        <v>65.487700000000004</v>
      </c>
      <c r="X13" s="298"/>
      <c r="Y13" s="299">
        <f t="shared" si="2"/>
        <v>65.487700000000004</v>
      </c>
      <c r="Z13" s="298"/>
      <c r="AA13" s="300">
        <f t="shared" si="0"/>
        <v>0</v>
      </c>
      <c r="AB13" s="301">
        <f t="shared" si="1"/>
        <v>0</v>
      </c>
    </row>
    <row r="14" spans="1:28">
      <c r="A14" s="292">
        <v>11</v>
      </c>
      <c r="B14" s="293" t="s">
        <v>566</v>
      </c>
      <c r="C14" s="294">
        <f t="shared" si="3"/>
        <v>213.6146</v>
      </c>
      <c r="D14" s="295"/>
      <c r="E14" s="296">
        <f>C14+Usevi!F360+Usevi!F361+Usevi!F362</f>
        <v>268.07459999999998</v>
      </c>
      <c r="F14" s="295"/>
      <c r="G14" s="296">
        <f>E14</f>
        <v>268.07459999999998</v>
      </c>
      <c r="H14" s="295"/>
      <c r="I14" s="296">
        <f>G14</f>
        <v>268.07459999999998</v>
      </c>
      <c r="J14" s="295"/>
      <c r="K14" s="297">
        <f>'Zalihe na parceli'!I14+Usevi!F363+Usevi!F364+Usevi!F365+Usevi!F366+Usevi!F367+Usevi!F368</f>
        <v>311.59739999999994</v>
      </c>
      <c r="L14" s="295"/>
      <c r="M14" s="296">
        <f>K14</f>
        <v>311.59739999999994</v>
      </c>
      <c r="N14" s="295"/>
      <c r="O14" s="296">
        <v>0</v>
      </c>
      <c r="P14" s="295"/>
      <c r="Q14" s="296">
        <v>0</v>
      </c>
      <c r="R14" s="295"/>
      <c r="S14" s="296">
        <v>0</v>
      </c>
      <c r="T14" s="295"/>
      <c r="U14" s="296">
        <f>Usevi!F351+Usevi!F352+Usevi!F353+Usevi!F354+Usevi!F355+Usevi!F356+Usevi!F357+Usevi!F358+Usevi!F359</f>
        <v>213.6146</v>
      </c>
      <c r="V14" s="295"/>
      <c r="W14" s="296">
        <f>U14</f>
        <v>213.6146</v>
      </c>
      <c r="X14" s="298"/>
      <c r="Y14" s="299">
        <f t="shared" ref="Y14:Y19" si="5">W14</f>
        <v>213.6146</v>
      </c>
      <c r="Z14" s="298"/>
      <c r="AA14" s="300">
        <f t="shared" si="0"/>
        <v>0</v>
      </c>
      <c r="AB14" s="301">
        <f t="shared" si="1"/>
        <v>0</v>
      </c>
    </row>
    <row r="15" spans="1:28">
      <c r="A15" s="292">
        <v>12</v>
      </c>
      <c r="B15" s="293" t="s">
        <v>567</v>
      </c>
      <c r="C15" s="294">
        <f t="shared" si="3"/>
        <v>213.6146</v>
      </c>
      <c r="D15" s="295"/>
      <c r="E15" s="296">
        <f>C15+Usevi!F393+Usevi!F394+Usevi!F395</f>
        <v>268.07459999999998</v>
      </c>
      <c r="F15" s="295"/>
      <c r="G15" s="296">
        <f>E15</f>
        <v>268.07459999999998</v>
      </c>
      <c r="H15" s="295"/>
      <c r="I15" s="296">
        <f>G15</f>
        <v>268.07459999999998</v>
      </c>
      <c r="J15" s="295"/>
      <c r="K15" s="297">
        <f>I15+Usevi!F396+Usevi!F397+Usevi!F398+Usevi!F399+Usevi!F400+Usevi!F401</f>
        <v>311.59739999999994</v>
      </c>
      <c r="L15" s="295"/>
      <c r="M15" s="296">
        <f>K15</f>
        <v>311.59739999999994</v>
      </c>
      <c r="N15" s="295"/>
      <c r="O15" s="296">
        <v>0</v>
      </c>
      <c r="P15" s="295"/>
      <c r="Q15" s="296">
        <v>0</v>
      </c>
      <c r="R15" s="295"/>
      <c r="S15" s="296">
        <v>0</v>
      </c>
      <c r="T15" s="295"/>
      <c r="U15" s="296">
        <f>Usevi!F384+Usevi!F385+Usevi!F386+Usevi!F387+Usevi!F388+Usevi!F389+Usevi!F390+Usevi!F391+Usevi!F392</f>
        <v>213.6146</v>
      </c>
      <c r="V15" s="295"/>
      <c r="W15" s="296">
        <f>U15</f>
        <v>213.6146</v>
      </c>
      <c r="X15" s="298"/>
      <c r="Y15" s="299">
        <f t="shared" si="5"/>
        <v>213.6146</v>
      </c>
      <c r="Z15" s="298"/>
      <c r="AA15" s="300">
        <f t="shared" si="0"/>
        <v>0</v>
      </c>
      <c r="AB15" s="301">
        <f t="shared" si="1"/>
        <v>0</v>
      </c>
    </row>
    <row r="16" spans="1:28">
      <c r="A16" s="292">
        <v>13</v>
      </c>
      <c r="B16" s="293" t="s">
        <v>568</v>
      </c>
      <c r="C16" s="294">
        <f t="shared" si="3"/>
        <v>213.62059999999997</v>
      </c>
      <c r="D16" s="295"/>
      <c r="E16" s="296">
        <f>C16+Usevi!F429+Usevi!F430+Usevi!F431</f>
        <v>268.08059999999995</v>
      </c>
      <c r="F16" s="295"/>
      <c r="G16" s="296">
        <f>E16</f>
        <v>268.08059999999995</v>
      </c>
      <c r="H16" s="295"/>
      <c r="I16" s="296">
        <f>G16</f>
        <v>268.08059999999995</v>
      </c>
      <c r="J16" s="295"/>
      <c r="K16" s="297">
        <f>I16</f>
        <v>268.08059999999995</v>
      </c>
      <c r="L16" s="295"/>
      <c r="M16" s="296">
        <f>K16</f>
        <v>268.08059999999995</v>
      </c>
      <c r="N16" s="295"/>
      <c r="O16" s="296">
        <f>Usevi!F417+Usevi!F418+Usevi!F419+Usevi!F420+Usevi!F425/2+Usevi!F426/2+Usevi!F427</f>
        <v>149.19959999999998</v>
      </c>
      <c r="P16" s="295"/>
      <c r="Q16" s="296">
        <f>O16+Usevi!F421+Usevi!F422+Usevi!F423+Usevi!F424</f>
        <v>203.43619999999999</v>
      </c>
      <c r="R16" s="295"/>
      <c r="S16" s="296">
        <f>Q16</f>
        <v>203.43619999999999</v>
      </c>
      <c r="T16" s="295"/>
      <c r="U16" s="296">
        <f>S16+Usevi!F425/2+Usevi!F426/2+Usevi!F428</f>
        <v>213.62059999999997</v>
      </c>
      <c r="V16" s="295"/>
      <c r="W16" s="296">
        <f>U16</f>
        <v>213.62059999999997</v>
      </c>
      <c r="X16" s="298"/>
      <c r="Y16" s="299">
        <f t="shared" si="5"/>
        <v>213.62059999999997</v>
      </c>
      <c r="Z16" s="298"/>
      <c r="AA16" s="300">
        <f t="shared" si="0"/>
        <v>0</v>
      </c>
      <c r="AB16" s="301">
        <f t="shared" si="1"/>
        <v>0</v>
      </c>
    </row>
    <row r="17" spans="1:28">
      <c r="A17" s="292">
        <v>14</v>
      </c>
      <c r="B17" s="293" t="s">
        <v>569</v>
      </c>
      <c r="C17" s="294">
        <f t="shared" si="3"/>
        <v>214.67879999999997</v>
      </c>
      <c r="D17" s="295"/>
      <c r="E17" s="296">
        <f t="shared" ref="E17:E24" si="6">C17</f>
        <v>214.67879999999997</v>
      </c>
      <c r="F17" s="295"/>
      <c r="G17" s="296">
        <f>E17</f>
        <v>214.67879999999997</v>
      </c>
      <c r="H17" s="295"/>
      <c r="I17" s="296">
        <f>G17+Usevi!F454+Usevi!F455+Usevi!F456+Usevi!F457+Usevi!F458+Usevi!F459</f>
        <v>317.99139999999989</v>
      </c>
      <c r="J17" s="295"/>
      <c r="K17" s="297">
        <f>I17+Usevi!F451+Usevi!F452+Usevi!F453+Usevi!F460+Usevi!F461+Usevi!F462+Usevi!F463+Usevi!F464+Usevi!F465+Usevi!F466</f>
        <v>421.99493999999981</v>
      </c>
      <c r="L17" s="295"/>
      <c r="M17" s="296">
        <f>K17+Usevi!F467+Usevi!F468+Usevi!F469/2+Usevi!F470/2+Usevi!F471+Usevi!F474/2</f>
        <v>557.93453999999986</v>
      </c>
      <c r="N17" s="295"/>
      <c r="O17" s="296">
        <f>M17+Usevi!F469/2+Usevi!F470/2+Usevi!F472+Usevi!F473+Usevi!F474/2</f>
        <v>635.68693999999994</v>
      </c>
      <c r="P17" s="295"/>
      <c r="Q17" s="296">
        <f>O17</f>
        <v>635.68693999999994</v>
      </c>
      <c r="R17" s="295"/>
      <c r="S17" s="296">
        <f>Q17</f>
        <v>635.68693999999994</v>
      </c>
      <c r="T17" s="295"/>
      <c r="U17" s="296">
        <v>0</v>
      </c>
      <c r="V17" s="295"/>
      <c r="W17" s="296">
        <f>Usevi!F445+Usevi!F446+Usevi!F447+Usevi!F448+Usevi!F449+Usevi!F450</f>
        <v>214.67879999999997</v>
      </c>
      <c r="X17" s="298"/>
      <c r="Y17" s="299">
        <f t="shared" si="5"/>
        <v>214.67879999999997</v>
      </c>
      <c r="Z17" s="298"/>
      <c r="AA17" s="300">
        <f t="shared" si="0"/>
        <v>0</v>
      </c>
      <c r="AB17" s="301">
        <f t="shared" si="1"/>
        <v>0</v>
      </c>
    </row>
    <row r="18" spans="1:28">
      <c r="A18" s="292">
        <v>15</v>
      </c>
      <c r="B18" s="293" t="s">
        <v>570</v>
      </c>
      <c r="C18" s="294">
        <f t="shared" si="3"/>
        <v>87.18</v>
      </c>
      <c r="D18" s="295"/>
      <c r="E18" s="296">
        <f t="shared" si="6"/>
        <v>87.18</v>
      </c>
      <c r="F18" s="295"/>
      <c r="G18" s="296">
        <f>E18+Usevi!F493+Usevi!F494+Usevi!F495+Usevi!F496</f>
        <v>902.17680000000007</v>
      </c>
      <c r="H18" s="295"/>
      <c r="I18" s="296">
        <f>G18</f>
        <v>902.17680000000007</v>
      </c>
      <c r="J18" s="295"/>
      <c r="K18" s="297">
        <f>I18</f>
        <v>902.17680000000007</v>
      </c>
      <c r="L18" s="295"/>
      <c r="M18" s="296">
        <f>K18</f>
        <v>902.17680000000007</v>
      </c>
      <c r="N18" s="295"/>
      <c r="O18" s="296">
        <f>M18</f>
        <v>902.17680000000007</v>
      </c>
      <c r="P18" s="295"/>
      <c r="Q18" s="296">
        <v>0</v>
      </c>
      <c r="R18" s="295"/>
      <c r="S18" s="296">
        <v>0</v>
      </c>
      <c r="T18" s="295"/>
      <c r="U18" s="296">
        <f>Usevi!F490+Usevi!F491</f>
        <v>59.02</v>
      </c>
      <c r="V18" s="295"/>
      <c r="W18" s="296">
        <f>U18+Usevi!F492</f>
        <v>87.18</v>
      </c>
      <c r="X18" s="298"/>
      <c r="Y18" s="299">
        <f t="shared" si="5"/>
        <v>87.18</v>
      </c>
      <c r="Z18" s="298"/>
      <c r="AA18" s="300">
        <f t="shared" si="0"/>
        <v>0</v>
      </c>
      <c r="AB18" s="301">
        <f t="shared" si="1"/>
        <v>0</v>
      </c>
    </row>
    <row r="19" spans="1:28">
      <c r="A19" s="292">
        <v>16</v>
      </c>
      <c r="B19" s="293" t="s">
        <v>571</v>
      </c>
      <c r="C19" s="294">
        <f t="shared" si="3"/>
        <v>314.86939999999998</v>
      </c>
      <c r="D19" s="295"/>
      <c r="E19" s="296">
        <f t="shared" si="6"/>
        <v>314.86939999999998</v>
      </c>
      <c r="F19" s="295"/>
      <c r="G19" s="296">
        <f>E19+Povrće!F13+Povrće!F14+Povrće!F15+Povrće!F16+Povrće!F17+Povrće!F18+Povrće!F19+Povrće!F20</f>
        <v>1994.8597000000002</v>
      </c>
      <c r="H19" s="295"/>
      <c r="I19" s="296">
        <f>G19</f>
        <v>1994.8597000000002</v>
      </c>
      <c r="J19" s="295"/>
      <c r="K19" s="297">
        <f>I19+Povrće!F21+Povrće!F22+Povrće!F23+Povrće!F24/4+Povrće!F25/4+Povrće!F26+Povrće!F27</f>
        <v>2160.2047000000007</v>
      </c>
      <c r="L19" s="295"/>
      <c r="M19" s="296">
        <f>K19+Povrće!F24/4+Povrće!F25/4+Povrće!F28+Povrće!F29+Povrće!F33/2+Povrće!F34</f>
        <v>2315.9827000000009</v>
      </c>
      <c r="N19" s="295"/>
      <c r="O19" s="296">
        <f>M19+Povrće!F24/4+Povrće!F25/4+Povrće!F30+Povrće!F31+Povrće!F33/2</f>
        <v>2468.169100000001</v>
      </c>
      <c r="P19" s="295"/>
      <c r="Q19" s="296">
        <f>O19</f>
        <v>2468.169100000001</v>
      </c>
      <c r="R19" s="295"/>
      <c r="S19" s="296">
        <f>Povrće!F5+Povrće!F6+Povrće!F7+Povrće!F8</f>
        <v>114.14400000000001</v>
      </c>
      <c r="T19" s="295"/>
      <c r="U19" s="296">
        <f>S19</f>
        <v>114.14400000000001</v>
      </c>
      <c r="V19" s="295"/>
      <c r="W19" s="296">
        <f>U19+Povrće!F9+Povrće!F10+Povrće!F11+Povrće!F12</f>
        <v>314.86939999999998</v>
      </c>
      <c r="X19" s="298"/>
      <c r="Y19" s="299">
        <f t="shared" si="5"/>
        <v>314.86939999999998</v>
      </c>
      <c r="Z19" s="298"/>
      <c r="AA19" s="300">
        <f t="shared" si="0"/>
        <v>0</v>
      </c>
      <c r="AB19" s="301">
        <f t="shared" si="1"/>
        <v>0</v>
      </c>
    </row>
    <row r="20" spans="1:28">
      <c r="A20" s="292">
        <v>17</v>
      </c>
      <c r="B20" s="293" t="s">
        <v>572</v>
      </c>
      <c r="C20" s="294">
        <f t="shared" si="3"/>
        <v>123.596</v>
      </c>
      <c r="D20" s="295"/>
      <c r="E20" s="296">
        <f t="shared" si="6"/>
        <v>123.596</v>
      </c>
      <c r="F20" s="295"/>
      <c r="G20" s="296">
        <f>E20</f>
        <v>123.596</v>
      </c>
      <c r="H20" s="295"/>
      <c r="I20" s="296">
        <f>G20+Povrće!F54+Povrće!F55+Povrće!F56+Povrće!F57+Povrće!F58+Povrće!F59+Povrće!F60+Povrće!F61+Povrće!F62+Povrće!F63+Povrće!F64</f>
        <v>1029.8490000000002</v>
      </c>
      <c r="J20" s="295"/>
      <c r="K20" s="297">
        <f>I20+Povrće!F65+Povrće!F66+Povrće!F67+Povrće!F68</f>
        <v>1066.1094000000003</v>
      </c>
      <c r="L20" s="295"/>
      <c r="M20" s="296">
        <f>K20+Povrće!F69+Povrće!F70+Povrće!F71+Povrće!F72+Povrće!F73+Povrće!F74+Povrće!F75</f>
        <v>1120.7462000000007</v>
      </c>
      <c r="N20" s="295"/>
      <c r="O20" s="296">
        <v>0</v>
      </c>
      <c r="P20" s="295"/>
      <c r="Q20" s="296">
        <f>Povrće!F48</f>
        <v>21.623399999999997</v>
      </c>
      <c r="R20" s="295"/>
      <c r="S20" s="296">
        <f>Q20+Povrće!F49</f>
        <v>26.420399999999997</v>
      </c>
      <c r="T20" s="295"/>
      <c r="U20" s="296">
        <f>S20</f>
        <v>26.420399999999997</v>
      </c>
      <c r="V20" s="295"/>
      <c r="W20" s="296">
        <f>U20+Povrće!F50+Povrće!F51+Povrće!F52+Povrće!F53</f>
        <v>123.596</v>
      </c>
      <c r="X20" s="298"/>
      <c r="Y20" s="299">
        <f t="shared" ref="Y20:Y30" si="7">W20</f>
        <v>123.596</v>
      </c>
      <c r="Z20" s="298"/>
      <c r="AA20" s="300">
        <f t="shared" si="0"/>
        <v>0</v>
      </c>
      <c r="AB20" s="301">
        <f t="shared" si="1"/>
        <v>0</v>
      </c>
    </row>
    <row r="21" spans="1:28">
      <c r="A21" s="292">
        <v>18</v>
      </c>
      <c r="B21" s="293" t="s">
        <v>573</v>
      </c>
      <c r="C21" s="294">
        <f t="shared" si="3"/>
        <v>287.56339999999994</v>
      </c>
      <c r="D21" s="295"/>
      <c r="E21" s="296">
        <f t="shared" si="6"/>
        <v>287.56339999999994</v>
      </c>
      <c r="F21" s="295"/>
      <c r="G21" s="296">
        <f>E21+Povrće!F95+Povrće!F96+Povrće!F97+Povrće!F98</f>
        <v>356.82779999999997</v>
      </c>
      <c r="H21" s="295"/>
      <c r="I21" s="296">
        <f>G21+Povrće!F99+Povrće!F100+Povrće!F106/2</f>
        <v>1204.4023</v>
      </c>
      <c r="J21" s="295"/>
      <c r="K21" s="297">
        <f>I21+Povrće!F101+Povrće!F102+Povrće!F103+Povrće!F104+Povrće!F105+Povrće!F106/2</f>
        <v>1290.5371</v>
      </c>
      <c r="L21" s="295"/>
      <c r="M21" s="296">
        <v>0</v>
      </c>
      <c r="N21" s="295"/>
      <c r="O21" s="296">
        <v>0</v>
      </c>
      <c r="P21" s="295"/>
      <c r="Q21" s="296">
        <v>0</v>
      </c>
      <c r="R21" s="295"/>
      <c r="S21" s="296">
        <v>0</v>
      </c>
      <c r="T21" s="295"/>
      <c r="U21" s="296">
        <f>Povrće!F89+Povrće!F90+Povrće!F91+Povrće!F92+Povrće!F93+Povrće!F94</f>
        <v>287.56339999999994</v>
      </c>
      <c r="V21" s="295"/>
      <c r="W21" s="296">
        <f>U21</f>
        <v>287.56339999999994</v>
      </c>
      <c r="X21" s="298"/>
      <c r="Y21" s="299">
        <f t="shared" si="7"/>
        <v>287.56339999999994</v>
      </c>
      <c r="Z21" s="298"/>
      <c r="AA21" s="300">
        <f t="shared" si="0"/>
        <v>0</v>
      </c>
      <c r="AB21" s="301">
        <f t="shared" si="1"/>
        <v>0</v>
      </c>
    </row>
    <row r="22" spans="1:28">
      <c r="A22" s="292">
        <v>19</v>
      </c>
      <c r="B22" s="293" t="s">
        <v>574</v>
      </c>
      <c r="C22" s="294">
        <f t="shared" si="3"/>
        <v>199.83979999999997</v>
      </c>
      <c r="D22" s="295"/>
      <c r="E22" s="296">
        <f t="shared" si="6"/>
        <v>199.83979999999997</v>
      </c>
      <c r="F22" s="295"/>
      <c r="G22" s="296">
        <f>E22+Povrće!F124+Povrće!F125+Povrće!F126+Povrće!F127+Povrće!F128+Povrće!F129+Povrće!F130+Povrće!F131/3+Povrće!F132/3+Povrće!F133</f>
        <v>952.97520000000009</v>
      </c>
      <c r="H22" s="295"/>
      <c r="I22" s="296">
        <f>G22+Povrće!F131/3*2+Povrće!F132/3*2+Povrće!F134+Povrće!F135+Povrće!F137/2</f>
        <v>1046.7135000000001</v>
      </c>
      <c r="J22" s="295"/>
      <c r="K22" s="297">
        <f>I22+Povrće!F136/2+Povrće!F137/2</f>
        <v>1099.3575000000001</v>
      </c>
      <c r="L22" s="295"/>
      <c r="M22" s="296">
        <v>0</v>
      </c>
      <c r="N22" s="295"/>
      <c r="O22" s="296">
        <v>0</v>
      </c>
      <c r="P22" s="295"/>
      <c r="Q22" s="296">
        <v>0</v>
      </c>
      <c r="R22" s="295"/>
      <c r="S22" s="296">
        <v>0</v>
      </c>
      <c r="T22" s="295"/>
      <c r="U22" s="296">
        <f>Povrće!F120+Povrće!F121+Povrće!F122+Povrće!F123</f>
        <v>199.83979999999997</v>
      </c>
      <c r="V22" s="295"/>
      <c r="W22" s="296">
        <f>U22</f>
        <v>199.83979999999997</v>
      </c>
      <c r="X22" s="298"/>
      <c r="Y22" s="299">
        <f t="shared" si="7"/>
        <v>199.83979999999997</v>
      </c>
      <c r="Z22" s="298"/>
      <c r="AA22" s="300">
        <f t="shared" si="0"/>
        <v>0</v>
      </c>
      <c r="AB22" s="301">
        <f t="shared" si="1"/>
        <v>0</v>
      </c>
    </row>
    <row r="23" spans="1:28">
      <c r="A23" s="292">
        <v>20</v>
      </c>
      <c r="B23" s="293" t="s">
        <v>575</v>
      </c>
      <c r="C23" s="294">
        <f t="shared" si="3"/>
        <v>123.596</v>
      </c>
      <c r="D23" s="295"/>
      <c r="E23" s="296">
        <f t="shared" si="6"/>
        <v>123.596</v>
      </c>
      <c r="F23" s="295"/>
      <c r="G23" s="296">
        <f>E23</f>
        <v>123.596</v>
      </c>
      <c r="H23" s="295"/>
      <c r="I23" s="296">
        <f>G23+Povrće!F157+Povrće!F158+Povrće!F159+Povrće!F160+Povrće!F161+Povrće!F162+Povrće!F163+Povrće!F164+Povrće!F165+Povrće!F166</f>
        <v>1371.982</v>
      </c>
      <c r="J23" s="295"/>
      <c r="K23" s="297">
        <f>I23+Povrće!F167+Povrće!F168+Povrće!F169+Povrće!F170</f>
        <v>1456.2616</v>
      </c>
      <c r="L23" s="295"/>
      <c r="M23" s="296">
        <f>K23+Povrće!F171+Povrće!F172+Povrće!F173+Povrće!F174+Povrće!F175</f>
        <v>1516.4948000000004</v>
      </c>
      <c r="N23" s="295"/>
      <c r="O23" s="296">
        <f>Povrće!F151</f>
        <v>21.623399999999997</v>
      </c>
      <c r="P23" s="295"/>
      <c r="Q23" s="296">
        <f>O23</f>
        <v>21.623399999999997</v>
      </c>
      <c r="R23" s="295"/>
      <c r="S23" s="296">
        <f>Q23+Povrće!F152</f>
        <v>26.420399999999997</v>
      </c>
      <c r="T23" s="295"/>
      <c r="U23" s="296">
        <f>S23</f>
        <v>26.420399999999997</v>
      </c>
      <c r="V23" s="295"/>
      <c r="W23" s="296">
        <f>U23+Povrće!F153+Povrće!F154+Povrće!F155+Povrće!F156</f>
        <v>123.596</v>
      </c>
      <c r="X23" s="298"/>
      <c r="Y23" s="299">
        <f t="shared" si="7"/>
        <v>123.596</v>
      </c>
      <c r="Z23" s="298"/>
      <c r="AA23" s="300">
        <f t="shared" si="0"/>
        <v>0</v>
      </c>
      <c r="AB23" s="301">
        <f t="shared" si="1"/>
        <v>0</v>
      </c>
    </row>
    <row r="24" spans="1:28">
      <c r="A24" s="292">
        <v>21</v>
      </c>
      <c r="B24" s="293" t="s">
        <v>631</v>
      </c>
      <c r="C24" s="294">
        <f t="shared" si="3"/>
        <v>313.83620000000002</v>
      </c>
      <c r="D24" s="295"/>
      <c r="E24" s="296">
        <f t="shared" si="6"/>
        <v>313.83620000000002</v>
      </c>
      <c r="F24" s="295"/>
      <c r="G24" s="296">
        <f>E24+Povrće!F198+Povrće!F199+Povrće!F200+Povrće!F201+Povrće!F202+Povrće!F203</f>
        <v>1367.0120000000002</v>
      </c>
      <c r="H24" s="295"/>
      <c r="I24" s="296">
        <f>G24+Povrće!F204/2+Povrće!F205/2+Povrće!F206+Povrće!F207</f>
        <v>1494.1092000000003</v>
      </c>
      <c r="J24" s="295"/>
      <c r="K24" s="297">
        <f>I24+Povrće!F204/2+Povrće!F205/2+Povrće!F208+Povrće!F209+Povrće!F210/2+Povrće!F211</f>
        <v>1688.6012000000005</v>
      </c>
      <c r="L24" s="295"/>
      <c r="M24" s="296">
        <f>K24+Povrće!F210/2</f>
        <v>1691.9960000000005</v>
      </c>
      <c r="N24" s="295"/>
      <c r="O24" s="296">
        <f>Povrće!F190+Povrće!F191+Povrće!F192</f>
        <v>109.34700000000001</v>
      </c>
      <c r="P24" s="295"/>
      <c r="Q24" s="296">
        <f>O24</f>
        <v>109.34700000000001</v>
      </c>
      <c r="R24" s="295"/>
      <c r="S24" s="296">
        <f>Q24+Povrće!F193</f>
        <v>114.14400000000001</v>
      </c>
      <c r="T24" s="295"/>
      <c r="U24" s="296">
        <f>S24</f>
        <v>114.14400000000001</v>
      </c>
      <c r="V24" s="295"/>
      <c r="W24" s="296">
        <f>U24+Povrće!F194+Povrće!F195+Povrće!F196+Povrće!F197</f>
        <v>313.83620000000002</v>
      </c>
      <c r="X24" s="298"/>
      <c r="Y24" s="299">
        <f t="shared" si="7"/>
        <v>313.83620000000002</v>
      </c>
      <c r="Z24" s="298"/>
      <c r="AA24" s="300">
        <f t="shared" si="0"/>
        <v>0</v>
      </c>
      <c r="AB24" s="301">
        <f t="shared" si="1"/>
        <v>0</v>
      </c>
    </row>
    <row r="25" spans="1:28">
      <c r="A25" s="292">
        <v>22</v>
      </c>
      <c r="B25" s="293" t="s">
        <v>576</v>
      </c>
      <c r="C25" s="294">
        <f t="shared" si="3"/>
        <v>862.86240000000009</v>
      </c>
      <c r="D25" s="295"/>
      <c r="E25" s="296">
        <f>C25+Povrće!F234+Povrće!F236+Povrće!F237</f>
        <v>1094.63084</v>
      </c>
      <c r="F25" s="295"/>
      <c r="G25" s="296">
        <f>E25</f>
        <v>1094.63084</v>
      </c>
      <c r="H25" s="295"/>
      <c r="I25" s="296">
        <f>G25+Povrće!F238+Povrće!F239+Povrće!F240+Povrće!F241+Povrće!F242+Povrće!F243</f>
        <v>1207.8034399999999</v>
      </c>
      <c r="J25" s="295"/>
      <c r="K25" s="297">
        <f>I25+Povrće!F244+Povrće!F245+Povrće!F246+Povrće!F247+Povrće!F248+Povrće!F249</f>
        <v>1320.9826399999999</v>
      </c>
      <c r="L25" s="295"/>
      <c r="M25" s="296">
        <f>K25+Povrće!F250+Povrće!F251+Povrće!F252+Povrće!F253+Povrće!F254/4</f>
        <v>1504.9414400000001</v>
      </c>
      <c r="N25" s="295"/>
      <c r="O25" s="296">
        <f>Povrće!F226+Povrće!F254/4+Povrće!F255/4+Povrće!F258+Povrće!F259</f>
        <v>169.74900000000002</v>
      </c>
      <c r="P25" s="295"/>
      <c r="Q25" s="296">
        <f>O25+Povrće!F227+Povrće!F228+Povrće!F229+Povrće!F254/4+Povrće!F255/4+Povrće!F256+Povrće!F257</f>
        <v>473.45480000000003</v>
      </c>
      <c r="R25" s="295"/>
      <c r="S25" s="296">
        <f>Q25+Povrće!F254/4+Povrće!F255/4+Povrće!F260+Povrće!F261</f>
        <v>621.0304000000001</v>
      </c>
      <c r="T25" s="295"/>
      <c r="U25" s="296">
        <f>S25+Povrće!F255/4+Povrće!F262</f>
        <v>662.13700000000017</v>
      </c>
      <c r="V25" s="295"/>
      <c r="W25" s="296">
        <f>U25+Povrće!F230+Povrće!F231+Povrće!F232+Povrće!F233</f>
        <v>862.86240000000009</v>
      </c>
      <c r="X25" s="298"/>
      <c r="Y25" s="299">
        <f t="shared" si="7"/>
        <v>862.86240000000009</v>
      </c>
      <c r="Z25" s="298"/>
      <c r="AA25" s="300">
        <f t="shared" si="0"/>
        <v>0</v>
      </c>
      <c r="AB25" s="301">
        <f t="shared" si="1"/>
        <v>0</v>
      </c>
    </row>
    <row r="26" spans="1:28">
      <c r="A26" s="292">
        <v>23</v>
      </c>
      <c r="B26" s="293" t="s">
        <v>577</v>
      </c>
      <c r="C26" s="294">
        <f t="shared" si="3"/>
        <v>313.83620000000002</v>
      </c>
      <c r="D26" s="295"/>
      <c r="E26" s="296">
        <f>C26</f>
        <v>313.83620000000002</v>
      </c>
      <c r="F26" s="295"/>
      <c r="G26" s="296">
        <f>E26</f>
        <v>313.83620000000002</v>
      </c>
      <c r="H26" s="295"/>
      <c r="I26" s="296">
        <f>G26+Povrće!F284+Povrće!F285+Povrće!F286+Povrće!F287+Povrće!F288+Povrće!F289+Povrće!F290/3+Povrće!F291</f>
        <v>1011.1788</v>
      </c>
      <c r="J26" s="295"/>
      <c r="K26" s="297">
        <f>I26+Povrće!F290/3+Povrće!F292+Povrće!F293+Povrće!F294+Povrće!F298/2+Povrće!F299/2</f>
        <v>1183.2731999999999</v>
      </c>
      <c r="L26" s="295"/>
      <c r="M26" s="296">
        <f>K26+Povrće!F290/3+Povrće!F295+Povrće!F296+Povrće!F297+Povrće!F298/2+Povrće!F299/2</f>
        <v>1353.5451999999998</v>
      </c>
      <c r="N26" s="295"/>
      <c r="O26" s="296">
        <f>Povrće!F276+Povrće!F277+Povrće!F278</f>
        <v>109.34700000000001</v>
      </c>
      <c r="P26" s="295"/>
      <c r="Q26" s="296">
        <f>O26</f>
        <v>109.34700000000001</v>
      </c>
      <c r="R26" s="295"/>
      <c r="S26" s="296">
        <f>Q26+Povrće!F279</f>
        <v>114.14400000000001</v>
      </c>
      <c r="T26" s="295"/>
      <c r="U26" s="296">
        <f>S26</f>
        <v>114.14400000000001</v>
      </c>
      <c r="V26" s="295"/>
      <c r="W26" s="296">
        <f>U26+Povrće!F280+Povrće!F281+Povrće!F282+Povrće!F283</f>
        <v>313.83620000000002</v>
      </c>
      <c r="X26" s="298"/>
      <c r="Y26" s="299">
        <f t="shared" si="7"/>
        <v>313.83620000000002</v>
      </c>
      <c r="Z26" s="298"/>
      <c r="AA26" s="300">
        <f t="shared" si="0"/>
        <v>0</v>
      </c>
      <c r="AB26" s="301">
        <f t="shared" si="1"/>
        <v>0</v>
      </c>
    </row>
    <row r="27" spans="1:28">
      <c r="A27" s="292">
        <v>24</v>
      </c>
      <c r="B27" s="293" t="s">
        <v>578</v>
      </c>
      <c r="C27" s="294">
        <f t="shared" si="3"/>
        <v>369.42860000000002</v>
      </c>
      <c r="D27" s="295"/>
      <c r="E27" s="296">
        <f>C27</f>
        <v>369.42860000000002</v>
      </c>
      <c r="F27" s="295"/>
      <c r="G27" s="296">
        <f>E27</f>
        <v>369.42860000000002</v>
      </c>
      <c r="H27" s="295"/>
      <c r="I27" s="296">
        <f>G27+Povrće!F321+Povrće!F322+Povrće!F323</f>
        <v>468.55280000000005</v>
      </c>
      <c r="J27" s="295"/>
      <c r="K27" s="297">
        <f>I27+Povrće!F324+Povrće!F325+Povrće!F326+Povrće!F327/3+Povrće!F328/3+Povrće!F329+Povrće!F332/2+Povrće!F333/2</f>
        <v>884.97130000000016</v>
      </c>
      <c r="L27" s="295"/>
      <c r="M27" s="296">
        <f>K27+Povrće!F327/3+Povrće!F328/3+Povrće!F330+Povrće!F332/2+Povrće!F333/2</f>
        <v>974.03350000000023</v>
      </c>
      <c r="N27" s="295"/>
      <c r="O27" s="296">
        <f>Povrće!F313+Povrće!F314+Povrće!F315+Povrće!F327/3+Povrće!F328/3+Povrće!F331</f>
        <v>164.93940000000003</v>
      </c>
      <c r="P27" s="295"/>
      <c r="Q27" s="296">
        <f>O27</f>
        <v>164.93940000000003</v>
      </c>
      <c r="R27" s="295"/>
      <c r="S27" s="296">
        <f>Q27+Povrće!F316</f>
        <v>169.73640000000003</v>
      </c>
      <c r="T27" s="295"/>
      <c r="U27" s="296">
        <f>S27</f>
        <v>169.73640000000003</v>
      </c>
      <c r="V27" s="295"/>
      <c r="W27" s="296">
        <f>U27+Povrće!F317+Povrće!F318+Povrće!F319+Povrće!F320</f>
        <v>369.42860000000002</v>
      </c>
      <c r="X27" s="298"/>
      <c r="Y27" s="299">
        <f t="shared" si="7"/>
        <v>369.42860000000002</v>
      </c>
      <c r="Z27" s="298"/>
      <c r="AA27" s="300">
        <f t="shared" si="0"/>
        <v>0</v>
      </c>
      <c r="AB27" s="301">
        <f t="shared" si="1"/>
        <v>0</v>
      </c>
    </row>
    <row r="28" spans="1:28">
      <c r="A28" s="292">
        <v>25</v>
      </c>
      <c r="B28" s="293" t="s">
        <v>579</v>
      </c>
      <c r="C28" s="294">
        <f t="shared" si="3"/>
        <v>313.83620000000002</v>
      </c>
      <c r="D28" s="295"/>
      <c r="E28" s="296">
        <f>C28+Povrće!F355+Povrće!F356+Povrće!F357+Povrće!F358</f>
        <v>614.00414000000001</v>
      </c>
      <c r="F28" s="295"/>
      <c r="G28" s="296">
        <f>E28</f>
        <v>614.00414000000001</v>
      </c>
      <c r="H28" s="295"/>
      <c r="I28" s="296">
        <f>G28+Povrće!F359+Povrće!F360+Povrće!F361+Povrće!F362</f>
        <v>715.78513999999996</v>
      </c>
      <c r="J28" s="295"/>
      <c r="K28" s="297">
        <f>I28+Povrće!F363+Povrće!F364+Povrće!F365+Povrće!F366+Povrće!F367+Povrće!F368+Povrće!F369</f>
        <v>828.96434000000011</v>
      </c>
      <c r="L28" s="295"/>
      <c r="M28" s="296">
        <f>K28+Povrće!F370+Povrće!F371/2+Povrće!F372+Povrće!F373+Povrće!F376+Povrće!F377+Povrće!F378/2</f>
        <v>1104.0247400000003</v>
      </c>
      <c r="N28" s="295"/>
      <c r="O28" s="296">
        <f>M28+Povrće!F371/2+Povrće!F374+Povrće!F375+Povrće!F378/2</f>
        <v>1323.1679400000005</v>
      </c>
      <c r="P28" s="295"/>
      <c r="Q28" s="296">
        <f>Povrće!F347+Povrće!F348+Povrće!F349</f>
        <v>109.34700000000001</v>
      </c>
      <c r="R28" s="295"/>
      <c r="S28" s="296">
        <f>Q28+Povrće!F350</f>
        <v>114.14400000000001</v>
      </c>
      <c r="T28" s="295"/>
      <c r="U28" s="296">
        <f>S28</f>
        <v>114.14400000000001</v>
      </c>
      <c r="V28" s="295"/>
      <c r="W28" s="296">
        <f>U28+Povrće!F351+Povrće!F352+Povrće!F353+Povrće!F354</f>
        <v>313.83620000000002</v>
      </c>
      <c r="X28" s="298"/>
      <c r="Y28" s="299">
        <f t="shared" si="7"/>
        <v>313.83620000000002</v>
      </c>
      <c r="Z28" s="298"/>
      <c r="AA28" s="300">
        <f t="shared" si="0"/>
        <v>0</v>
      </c>
      <c r="AB28" s="301">
        <f t="shared" si="1"/>
        <v>0</v>
      </c>
    </row>
    <row r="29" spans="1:28">
      <c r="A29" s="292">
        <v>26</v>
      </c>
      <c r="B29" s="293" t="s">
        <v>580</v>
      </c>
      <c r="C29" s="294">
        <f t="shared" si="3"/>
        <v>137.4966</v>
      </c>
      <c r="D29" s="295"/>
      <c r="E29" s="296">
        <f>C29</f>
        <v>137.4966</v>
      </c>
      <c r="F29" s="295"/>
      <c r="G29" s="296">
        <f>E29+Povrće!F397+Povrće!F398+Povrće!F399+Povrće!F400+Povrće!F401+Povrće!F402+Povrće!F403+Povrće!F404+Povrće!F405</f>
        <v>535.3341999999999</v>
      </c>
      <c r="H29" s="295"/>
      <c r="I29" s="296">
        <f>G29</f>
        <v>535.3341999999999</v>
      </c>
      <c r="J29" s="295"/>
      <c r="K29" s="297">
        <v>0</v>
      </c>
      <c r="L29" s="295"/>
      <c r="M29" s="296">
        <v>0</v>
      </c>
      <c r="N29" s="295"/>
      <c r="O29" s="296">
        <v>0</v>
      </c>
      <c r="P29" s="295"/>
      <c r="Q29" s="296">
        <v>0</v>
      </c>
      <c r="R29" s="295"/>
      <c r="S29" s="296">
        <v>0</v>
      </c>
      <c r="T29" s="295"/>
      <c r="U29" s="296">
        <f>Povrće!F392+Povrće!F393+Povrće!F394+Povrće!F395+Povrće!F396</f>
        <v>137.4966</v>
      </c>
      <c r="V29" s="295"/>
      <c r="W29" s="296">
        <f>U29</f>
        <v>137.4966</v>
      </c>
      <c r="X29" s="298"/>
      <c r="Y29" s="299">
        <f t="shared" si="7"/>
        <v>137.4966</v>
      </c>
      <c r="Z29" s="298"/>
      <c r="AA29" s="300">
        <f t="shared" si="0"/>
        <v>0</v>
      </c>
      <c r="AB29" s="301">
        <f t="shared" si="1"/>
        <v>0</v>
      </c>
    </row>
    <row r="30" spans="1:28">
      <c r="A30" s="292">
        <v>27</v>
      </c>
      <c r="B30" s="293" t="s">
        <v>581</v>
      </c>
      <c r="C30" s="294">
        <f t="shared" si="3"/>
        <v>378.23899999999998</v>
      </c>
      <c r="D30" s="295"/>
      <c r="E30" s="296">
        <f>C30</f>
        <v>378.23899999999998</v>
      </c>
      <c r="F30" s="295"/>
      <c r="G30" s="296">
        <f>E30+Povrće!F427</f>
        <v>573.23900000000003</v>
      </c>
      <c r="H30" s="295"/>
      <c r="I30" s="296">
        <f>G30+Povrće!F428+Povrće!F429+Povrće!F430+Povrće!F431+Povrće!F432+Povrće!F433</f>
        <v>690.13160000000005</v>
      </c>
      <c r="J30" s="295"/>
      <c r="K30" s="297">
        <f>I30+Povrće!F434+Povrće!F435+Povrće!F436+Povrće!F437+Povrće!F438+Povrće!F439/4+Povrće!F440</f>
        <v>822.93080000000009</v>
      </c>
      <c r="L30" s="295"/>
      <c r="M30" s="296">
        <f>K30+Povrće!F439/2+Povrće!F441+Povrće!F442+Povrće!F444+Povrće!F445</f>
        <v>942.11320000000012</v>
      </c>
      <c r="N30" s="295"/>
      <c r="O30" s="296">
        <f>M30+Povrće!F439/4+Povrće!F443+Povrće!F446</f>
        <v>1024.4248000000002</v>
      </c>
      <c r="P30" s="295"/>
      <c r="Q30" s="296">
        <f>Povrće!F419+Povrće!F420+Povrće!F421+Povrće!F422</f>
        <v>177.5136</v>
      </c>
      <c r="R30" s="295"/>
      <c r="S30" s="296">
        <f>Q30</f>
        <v>177.5136</v>
      </c>
      <c r="T30" s="295"/>
      <c r="U30" s="296">
        <f>S30</f>
        <v>177.5136</v>
      </c>
      <c r="V30" s="295"/>
      <c r="W30" s="296">
        <f>U30+Povrće!F423+Povrće!F424+Povrće!F425+Povrće!F426</f>
        <v>378.23899999999998</v>
      </c>
      <c r="X30" s="298"/>
      <c r="Y30" s="299">
        <f t="shared" si="7"/>
        <v>378.23899999999998</v>
      </c>
      <c r="Z30" s="298"/>
      <c r="AA30" s="300">
        <f t="shared" si="0"/>
        <v>0</v>
      </c>
      <c r="AB30" s="301">
        <f t="shared" si="1"/>
        <v>0</v>
      </c>
    </row>
    <row r="31" spans="1:28">
      <c r="A31" s="292">
        <v>28</v>
      </c>
      <c r="B31" s="293" t="s">
        <v>582</v>
      </c>
      <c r="C31" s="294">
        <f t="shared" si="3"/>
        <v>137.4966</v>
      </c>
      <c r="D31" s="295"/>
      <c r="E31" s="296">
        <f>C31</f>
        <v>137.4966</v>
      </c>
      <c r="F31" s="295"/>
      <c r="G31" s="296">
        <f>E31+Povrće!F465</f>
        <v>587.49659999999994</v>
      </c>
      <c r="H31" s="295"/>
      <c r="I31" s="296">
        <f>G31+Povrće!F466+Povrće!F467+Povrće!F468</f>
        <v>653.95659999999987</v>
      </c>
      <c r="J31" s="295"/>
      <c r="K31" s="297">
        <f>I31+Povrće!F469+Povrće!F470+Povrće!F471+Povrće!F472+Povrće!F473+Povrće!F474+Povrće!F475+Povrće!F476/5*3+Povrće!F477</f>
        <v>813.12789999999995</v>
      </c>
      <c r="L31" s="295"/>
      <c r="M31" s="296">
        <f>K31+Povrće!F476/5+Povrće!F478+Povrće!F480+Povrće!F481</f>
        <v>882.85670000000005</v>
      </c>
      <c r="N31" s="295"/>
      <c r="O31" s="296">
        <f>M31+Povrće!F476/5+Povrće!F479+Povrće!F482/2</f>
        <v>965.16830000000016</v>
      </c>
      <c r="P31" s="295"/>
      <c r="Q31" s="296">
        <f>O31+Povrće!F482/2</f>
        <v>1014.3683000000002</v>
      </c>
      <c r="R31" s="295"/>
      <c r="S31" s="296">
        <v>0</v>
      </c>
      <c r="T31" s="295"/>
      <c r="U31" s="296">
        <f>Povrće!F460+Povrće!F461+Povrće!F462+Povrće!F463+Povrće!F464</f>
        <v>137.4966</v>
      </c>
      <c r="V31" s="295"/>
      <c r="W31" s="296">
        <f>U31</f>
        <v>137.4966</v>
      </c>
      <c r="X31" s="298"/>
      <c r="Y31" s="299">
        <f>W31</f>
        <v>137.4966</v>
      </c>
      <c r="Z31" s="298"/>
      <c r="AA31" s="300">
        <f t="shared" si="0"/>
        <v>0</v>
      </c>
      <c r="AB31" s="301">
        <f t="shared" si="1"/>
        <v>0</v>
      </c>
    </row>
    <row r="32" spans="1:28">
      <c r="A32" s="292">
        <v>29</v>
      </c>
      <c r="B32" s="293" t="s">
        <v>583</v>
      </c>
      <c r="C32" s="294">
        <f t="shared" si="3"/>
        <v>137.4966</v>
      </c>
      <c r="D32" s="295"/>
      <c r="E32" s="296">
        <f>C32</f>
        <v>137.4966</v>
      </c>
      <c r="F32" s="295"/>
      <c r="G32" s="296">
        <f>E32+Povrće!F501</f>
        <v>787.72160000000008</v>
      </c>
      <c r="H32" s="295"/>
      <c r="I32" s="296">
        <f>G32+Povrće!F502+Povrće!F503+Povrće!F504</f>
        <v>854.1816</v>
      </c>
      <c r="J32" s="295"/>
      <c r="K32" s="297">
        <f>I32+Povrće!F505+Povrće!F506+Povrće!F507+Povrće!F508+Povrće!F509+Povrće!F510+Povrće!F511+Povrće!F512/5*2+Povrće!F513/3*2</f>
        <v>1004.2878000000001</v>
      </c>
      <c r="L32" s="295"/>
      <c r="M32" s="296">
        <f>K32+Povrće!F512/5+Povrće!F513/3+Povrće!F516+Povrće!F517</f>
        <v>1065.8001000000002</v>
      </c>
      <c r="N32" s="295"/>
      <c r="O32" s="296">
        <f>M32+Povrće!F512/5+Povrće!F514+Povrće!F518/2</f>
        <v>1132.2817000000002</v>
      </c>
      <c r="P32" s="295"/>
      <c r="Q32" s="296">
        <f>O32+Povrće!F512/5+Povrće!F515+Povrće!F518/2</f>
        <v>1214.5933000000002</v>
      </c>
      <c r="R32" s="295"/>
      <c r="S32" s="296">
        <v>0</v>
      </c>
      <c r="T32" s="295"/>
      <c r="U32" s="296">
        <f>Povrće!F496+Povrće!F497+Povrće!F498+Povrće!F499+Povrće!F500</f>
        <v>137.4966</v>
      </c>
      <c r="V32" s="295"/>
      <c r="W32" s="296">
        <f>U32</f>
        <v>137.4966</v>
      </c>
      <c r="X32" s="298"/>
      <c r="Y32" s="299">
        <f>W32</f>
        <v>137.4966</v>
      </c>
      <c r="Z32" s="298"/>
      <c r="AA32" s="300">
        <f t="shared" si="0"/>
        <v>0</v>
      </c>
      <c r="AB32" s="301">
        <f t="shared" si="1"/>
        <v>0</v>
      </c>
    </row>
    <row r="33" spans="1:29">
      <c r="A33" s="292">
        <v>30</v>
      </c>
      <c r="B33" s="293" t="s">
        <v>584</v>
      </c>
      <c r="C33" s="294">
        <v>0</v>
      </c>
      <c r="D33" s="295"/>
      <c r="E33" s="296">
        <v>0</v>
      </c>
      <c r="F33" s="295"/>
      <c r="G33" s="296">
        <v>0</v>
      </c>
      <c r="H33" s="295"/>
      <c r="I33" s="296">
        <v>0</v>
      </c>
      <c r="J33" s="295"/>
      <c r="K33" s="297">
        <v>0</v>
      </c>
      <c r="L33" s="295"/>
      <c r="M33" s="296">
        <v>0</v>
      </c>
      <c r="N33" s="295"/>
      <c r="O33" s="296">
        <f>Povrće!F532+Povrće!F533+Povrće!F534+Povrće!F535+Povrće!F536+Povrće!F537+Povrće!F538+Povrće!F539+Povrće!F540+Povrće!F541+Povrće!F542++Povrće!F543+Povrće!F544+Povrće!F545/5*2+Povrće!F546/3*2</f>
        <v>945.58499999999992</v>
      </c>
      <c r="P33" s="295"/>
      <c r="Q33" s="296">
        <f>O33+Povrće!F545/5*3+Povrće!F546/3+Povrće!F547+Povrće!F548+Povrće!F549+Povrće!F550/2</f>
        <v>1057.4904999999999</v>
      </c>
      <c r="R33" s="295"/>
      <c r="S33" s="296">
        <f>Q33+Povrće!F550/2</f>
        <v>1106.6904999999999</v>
      </c>
      <c r="T33" s="295"/>
      <c r="U33" s="296">
        <v>0</v>
      </c>
      <c r="V33" s="295"/>
      <c r="W33" s="296">
        <v>0</v>
      </c>
      <c r="X33" s="298"/>
      <c r="Y33" s="299">
        <v>0</v>
      </c>
      <c r="Z33" s="298"/>
      <c r="AA33" s="300">
        <f t="shared" si="0"/>
        <v>0</v>
      </c>
      <c r="AB33" s="301">
        <f t="shared" si="1"/>
        <v>0</v>
      </c>
    </row>
    <row r="34" spans="1:29">
      <c r="A34" s="292">
        <v>31</v>
      </c>
      <c r="B34" s="293" t="s">
        <v>585</v>
      </c>
      <c r="C34" s="294">
        <f>Y34</f>
        <v>137.4966</v>
      </c>
      <c r="D34" s="295"/>
      <c r="E34" s="296">
        <f>C34+Povrće!F569</f>
        <v>937.49659999999994</v>
      </c>
      <c r="F34" s="295"/>
      <c r="G34" s="296">
        <f>E34+Povrće!F570+Povrće!F571+Povrće!F572+Povrće!F573+Povrće!F574+Povrće!F575+Povrće!F576+Povrće!F577/2</f>
        <v>1092.7133999999999</v>
      </c>
      <c r="H34" s="295"/>
      <c r="I34" s="296">
        <f>G34+Povrće!F577/2+Povrće!F578+Povrće!F579/2+Povrće!F580</f>
        <v>1162.4422</v>
      </c>
      <c r="J34" s="295"/>
      <c r="K34" s="297">
        <f>I34+Povrće!F579/2+Povrće!F581</f>
        <v>1266.9237999999998</v>
      </c>
      <c r="L34" s="295"/>
      <c r="M34" s="296">
        <v>0</v>
      </c>
      <c r="N34" s="295"/>
      <c r="O34" s="296">
        <v>0</v>
      </c>
      <c r="P34" s="295"/>
      <c r="Q34" s="296">
        <v>0</v>
      </c>
      <c r="R34" s="295"/>
      <c r="S34" s="296">
        <v>0</v>
      </c>
      <c r="T34" s="295"/>
      <c r="U34" s="296">
        <f>Povrće!F564+Povrće!F565+Povrće!F566+Povrće!F567+Povrće!F568</f>
        <v>137.4966</v>
      </c>
      <c r="V34" s="295"/>
      <c r="W34" s="296">
        <f>U34</f>
        <v>137.4966</v>
      </c>
      <c r="X34" s="298"/>
      <c r="Y34" s="299">
        <f>W34</f>
        <v>137.4966</v>
      </c>
      <c r="Z34" s="298"/>
      <c r="AA34" s="300">
        <f t="shared" si="0"/>
        <v>0</v>
      </c>
      <c r="AB34" s="301">
        <f t="shared" si="1"/>
        <v>0</v>
      </c>
    </row>
    <row r="35" spans="1:29">
      <c r="A35" s="292">
        <v>32</v>
      </c>
      <c r="B35" s="293" t="s">
        <v>586</v>
      </c>
      <c r="C35" s="294">
        <f>Y35</f>
        <v>378.23899999999998</v>
      </c>
      <c r="D35" s="295"/>
      <c r="E35" s="296">
        <f>C35</f>
        <v>378.23899999999998</v>
      </c>
      <c r="F35" s="295"/>
      <c r="G35" s="296">
        <f>E35+Povrće!F603+Povrće!F604+Povrće!F605+Povrće!F606+Povrće!F607+Povrće!F608+Povrće!F609+Povrće!F610</f>
        <v>792.25609999999995</v>
      </c>
      <c r="H35" s="295"/>
      <c r="I35" s="296">
        <f>G35</f>
        <v>792.25609999999995</v>
      </c>
      <c r="J35" s="295"/>
      <c r="K35" s="297">
        <f>I35+Povrće!F611+Povrće!F612+Povrće!F613+Povrće!F614+Povrće!F615</f>
        <v>905.39150000000006</v>
      </c>
      <c r="L35" s="295"/>
      <c r="M35" s="296">
        <f>K35+Povrće!F616</f>
        <v>908.63870000000009</v>
      </c>
      <c r="N35" s="295"/>
      <c r="O35" s="296">
        <f>M35</f>
        <v>908.63870000000009</v>
      </c>
      <c r="P35" s="295"/>
      <c r="Q35" s="296">
        <f>O35</f>
        <v>908.63870000000009</v>
      </c>
      <c r="R35" s="295"/>
      <c r="S35" s="296">
        <f>Q35</f>
        <v>908.63870000000009</v>
      </c>
      <c r="T35" s="295"/>
      <c r="U35" s="296">
        <f>Povrće!F595+Povrće!F596+Povrće!F597+Povrće!F598</f>
        <v>177.5136</v>
      </c>
      <c r="V35" s="295"/>
      <c r="W35" s="296">
        <f>U35+Povrće!F599+Povrće!F600+Povrće!F601+Povrće!F602</f>
        <v>378.23899999999998</v>
      </c>
      <c r="X35" s="298"/>
      <c r="Y35" s="299">
        <f>W35</f>
        <v>378.23899999999998</v>
      </c>
      <c r="Z35" s="298"/>
      <c r="AA35" s="300">
        <f t="shared" si="0"/>
        <v>0</v>
      </c>
      <c r="AB35" s="301">
        <f t="shared" si="1"/>
        <v>0</v>
      </c>
    </row>
    <row r="36" spans="1:29">
      <c r="A36" s="292">
        <v>33</v>
      </c>
      <c r="B36" s="293" t="s">
        <v>587</v>
      </c>
      <c r="C36" s="294">
        <f>Y36</f>
        <v>378.23899999999998</v>
      </c>
      <c r="D36" s="295"/>
      <c r="E36" s="296">
        <f>C36</f>
        <v>378.23899999999998</v>
      </c>
      <c r="F36" s="295"/>
      <c r="G36" s="296">
        <f>E36+Povrće!F638+Povrće!F639+Povrće!F640+Povrće!F641+Povrće!F642+Povrće!F643+Povrće!F644+Povrće!F645</f>
        <v>628.72609999999997</v>
      </c>
      <c r="H36" s="295"/>
      <c r="I36" s="296">
        <f>G36</f>
        <v>628.72609999999997</v>
      </c>
      <c r="J36" s="295"/>
      <c r="K36" s="297">
        <f>I36+Povrće!F646+Povrće!F647+Povrće!F648+Povrće!F649+Povrće!F650</f>
        <v>741.86150000000009</v>
      </c>
      <c r="L36" s="295"/>
      <c r="M36" s="296">
        <f>K36+Povrće!F651</f>
        <v>745.10870000000011</v>
      </c>
      <c r="N36" s="295"/>
      <c r="O36" s="296">
        <f>M36</f>
        <v>745.10870000000011</v>
      </c>
      <c r="P36" s="295"/>
      <c r="Q36" s="296">
        <f>O36+Povrće!F631+Povrće!F632+Povrće!F633</f>
        <v>900.99890000000016</v>
      </c>
      <c r="R36" s="295"/>
      <c r="S36" s="296">
        <f>Q36</f>
        <v>900.99890000000016</v>
      </c>
      <c r="T36" s="295"/>
      <c r="U36" s="296">
        <f>Povrće!F630+Povrće!F631+Povrće!F632+Povrće!F633</f>
        <v>177.5136</v>
      </c>
      <c r="V36" s="295"/>
      <c r="W36" s="296">
        <f>U36+Povrće!F634+Povrće!F635+Povrće!F636+Povrće!F637</f>
        <v>378.23899999999998</v>
      </c>
      <c r="X36" s="298"/>
      <c r="Y36" s="299">
        <f>W36</f>
        <v>378.23899999999998</v>
      </c>
      <c r="Z36" s="298"/>
      <c r="AA36" s="300">
        <f t="shared" si="0"/>
        <v>0</v>
      </c>
      <c r="AB36" s="301">
        <f t="shared" si="1"/>
        <v>0</v>
      </c>
    </row>
    <row r="37" spans="1:29">
      <c r="A37" s="292">
        <v>34</v>
      </c>
      <c r="B37" s="293" t="s">
        <v>588</v>
      </c>
      <c r="C37" s="294">
        <f>Y37</f>
        <v>137.4966</v>
      </c>
      <c r="D37" s="295"/>
      <c r="E37" s="296">
        <f>C37+Povrće!F670</f>
        <v>257.4966</v>
      </c>
      <c r="F37" s="295"/>
      <c r="G37" s="296">
        <f>E37</f>
        <v>257.4966</v>
      </c>
      <c r="H37" s="295"/>
      <c r="I37" s="296">
        <f>G37+Povrće!F671+Povrće!F672+Povrće!F673</f>
        <v>323.95660000000004</v>
      </c>
      <c r="J37" s="295"/>
      <c r="K37" s="297">
        <f>I37+Povrće!F674+Povrće!F675+Povrće!F676+Povrće!F677+Povrće!F678+Povrće!F679+Povrće!F680+Povrće!F681/5+Povrće!F682</f>
        <v>489.04419999999999</v>
      </c>
      <c r="L37" s="295"/>
      <c r="M37" s="296">
        <f>K37+Povrće!F681/5*2+Povrće!F683+Povrće!F686+Povrće!F687</f>
        <v>560.79160000000002</v>
      </c>
      <c r="N37" s="295"/>
      <c r="O37" s="296">
        <f>M37+Povrće!F681/5+Povrće!F684+Povrće!F688/5*2</f>
        <v>716.92320000000007</v>
      </c>
      <c r="P37" s="295"/>
      <c r="Q37" s="303">
        <f>O37+Povrće!F681/5+Povrće!F685+Povrće!F688/5*2</f>
        <v>832.60480000000007</v>
      </c>
      <c r="R37" s="302"/>
      <c r="S37" s="303">
        <f>Q37+Povrće!F688/5</f>
        <v>881.80480000000011</v>
      </c>
      <c r="T37" s="295"/>
      <c r="U37" s="296">
        <f>Povrće!F665+Povrće!F666+Povrće!F667+Povrće!F668+Povrće!F669</f>
        <v>137.4966</v>
      </c>
      <c r="V37" s="295"/>
      <c r="W37" s="296">
        <f>U37</f>
        <v>137.4966</v>
      </c>
      <c r="X37" s="298"/>
      <c r="Y37" s="299">
        <f>W37</f>
        <v>137.4966</v>
      </c>
      <c r="Z37" s="298"/>
      <c r="AA37" s="300">
        <f t="shared" si="0"/>
        <v>0</v>
      </c>
      <c r="AB37" s="301">
        <f t="shared" si="1"/>
        <v>0</v>
      </c>
    </row>
    <row r="38" spans="1:29">
      <c r="A38" s="292">
        <v>35</v>
      </c>
      <c r="B38" s="293" t="s">
        <v>604</v>
      </c>
      <c r="C38" s="294">
        <v>0</v>
      </c>
      <c r="D38" s="295"/>
      <c r="E38" s="296">
        <f>Voće!F12/2+Voće!F13/2+Voće!F14+Voće!F15</f>
        <v>85.325000000000003</v>
      </c>
      <c r="F38" s="295"/>
      <c r="G38" s="296">
        <f>E38+Voće!F5+Voće!F6+Voće!F7</f>
        <v>123.40860000000001</v>
      </c>
      <c r="H38" s="295"/>
      <c r="I38" s="296">
        <f>G38+Voće!F9+Voće!F10+Voće!F11+Voće!F12/2+Voće!F13/2+Voće!F17+Voće!F16</f>
        <v>185.51819999999998</v>
      </c>
      <c r="J38" s="295"/>
      <c r="K38" s="297">
        <f>I38</f>
        <v>185.51819999999998</v>
      </c>
      <c r="L38" s="295"/>
      <c r="M38" s="296">
        <f>K38+Voće!F8/2</f>
        <v>192.01259999999999</v>
      </c>
      <c r="N38" s="295"/>
      <c r="O38" s="296">
        <f>M38+Voće!F8/2</f>
        <v>198.50700000000001</v>
      </c>
      <c r="P38" s="295"/>
      <c r="Q38" s="296">
        <v>0</v>
      </c>
      <c r="R38" s="295"/>
      <c r="S38" s="296">
        <v>0</v>
      </c>
      <c r="T38" s="295"/>
      <c r="U38" s="296">
        <v>0</v>
      </c>
      <c r="V38" s="295"/>
      <c r="W38" s="296">
        <v>0</v>
      </c>
      <c r="X38" s="298"/>
      <c r="Y38" s="299">
        <v>0</v>
      </c>
      <c r="Z38" s="298"/>
      <c r="AA38" s="300">
        <f t="shared" si="0"/>
        <v>0</v>
      </c>
      <c r="AB38" s="301">
        <f t="shared" si="1"/>
        <v>0</v>
      </c>
      <c r="AC38" s="304"/>
    </row>
    <row r="39" spans="1:29">
      <c r="A39" s="292">
        <v>36</v>
      </c>
      <c r="B39" s="293" t="s">
        <v>589</v>
      </c>
      <c r="C39" s="305">
        <f>Y39</f>
        <v>80.600999999999999</v>
      </c>
      <c r="D39" s="302"/>
      <c r="E39" s="303">
        <f>C39+Voće!F38/7+Voće!F39/7+Voće!F40</f>
        <v>264.49199999999996</v>
      </c>
      <c r="F39" s="302"/>
      <c r="G39" s="303">
        <f>E39+Voće!F31+Voće!F32+Voće!F33+Voće!F34/4+Voće!F38/7+Voće!F39/7+Voće!F41+Voće!F42</f>
        <v>482.58779999999996</v>
      </c>
      <c r="H39" s="302"/>
      <c r="I39" s="303">
        <f>G39+Voće!F34/4+Voće!F35+Voće!F36+Voće!F37+Voće!F38/7+Voće!F39/7+Voće!F43</f>
        <v>635.79459999999995</v>
      </c>
      <c r="J39" s="302"/>
      <c r="K39" s="306">
        <f>I39+Voće!F38/7+Voće!F39/7+Voće!F44+Voće!F45</f>
        <v>666.14559999999994</v>
      </c>
      <c r="L39" s="302"/>
      <c r="M39" s="296">
        <f>K39+Voće!F34/4+Voće!F38/7+Voće!F39/7+Voće!F46+Voće!F47</f>
        <v>732.85379999999998</v>
      </c>
      <c r="N39" s="295"/>
      <c r="O39" s="296">
        <f>M39+Voće!F34/4+Voće!F38/7+Voće!F39/7+Voće!F48+Voće!F49</f>
        <v>917.25200000000007</v>
      </c>
      <c r="P39" s="295"/>
      <c r="Q39" s="296">
        <v>0</v>
      </c>
      <c r="R39" s="295"/>
      <c r="S39" s="296">
        <v>0</v>
      </c>
      <c r="T39" s="295"/>
      <c r="U39" s="296">
        <f>Voće!F38/7+Voće!F39/7+Voće!F50</f>
        <v>62.151000000000003</v>
      </c>
      <c r="V39" s="295"/>
      <c r="W39" s="296">
        <f>U39+Voće!F30</f>
        <v>80.600999999999999</v>
      </c>
      <c r="X39" s="298"/>
      <c r="Y39" s="299">
        <f>W39</f>
        <v>80.600999999999999</v>
      </c>
      <c r="Z39" s="298"/>
      <c r="AA39" s="300">
        <f t="shared" si="0"/>
        <v>0</v>
      </c>
      <c r="AB39" s="301">
        <f t="shared" si="1"/>
        <v>0</v>
      </c>
    </row>
    <row r="40" spans="1:29">
      <c r="A40" s="292">
        <v>37</v>
      </c>
      <c r="B40" s="293" t="s">
        <v>590</v>
      </c>
      <c r="C40" s="294">
        <v>0</v>
      </c>
      <c r="D40" s="295"/>
      <c r="E40" s="296">
        <v>0</v>
      </c>
      <c r="F40" s="295"/>
      <c r="G40" s="303">
        <f>Voće!F63+Voće!F64+Voće!F65+Voće!F66+Voće!F67/4+Voće!F71/4+Voće!F72/4+Voće!F73</f>
        <v>188.60340000000002</v>
      </c>
      <c r="H40" s="302"/>
      <c r="I40" s="303">
        <f>G40+Voće!F67/4+Voće!F68+Voće!F69+Voće!F70</f>
        <v>246.60579999999999</v>
      </c>
      <c r="J40" s="302"/>
      <c r="K40" s="306">
        <f>I40+Voće!F71/4+Voće!F72/4+Voće!F74+Voće!F75</f>
        <v>271.20679999999999</v>
      </c>
      <c r="L40" s="302"/>
      <c r="M40" s="303">
        <f>K40+Voće!F67/4+Voće!F71/2+Voće!F72/2+Voće!F76+Voće!F77+Voće!F78+Voće!F79</f>
        <v>390.22399999999993</v>
      </c>
      <c r="N40" s="302"/>
      <c r="O40" s="303">
        <f>M40+Voće!F67/4</f>
        <v>393.47119999999995</v>
      </c>
      <c r="P40" s="295"/>
      <c r="Q40" s="296">
        <f>O40</f>
        <v>393.47119999999995</v>
      </c>
      <c r="R40" s="295"/>
      <c r="S40" s="296">
        <f>Q40</f>
        <v>393.47119999999995</v>
      </c>
      <c r="T40" s="295"/>
      <c r="U40" s="296">
        <v>0</v>
      </c>
      <c r="V40" s="295"/>
      <c r="W40" s="296">
        <v>0</v>
      </c>
      <c r="X40" s="298"/>
      <c r="Y40" s="299">
        <v>0</v>
      </c>
      <c r="Z40" s="298"/>
      <c r="AA40" s="300">
        <f t="shared" si="0"/>
        <v>0</v>
      </c>
      <c r="AB40" s="301">
        <f t="shared" si="1"/>
        <v>0</v>
      </c>
    </row>
    <row r="41" spans="1:29">
      <c r="A41" s="292">
        <v>38</v>
      </c>
      <c r="B41" s="293" t="s">
        <v>591</v>
      </c>
      <c r="C41" s="294">
        <f t="shared" ref="C41:C47" si="8">Y41</f>
        <v>18.45</v>
      </c>
      <c r="D41" s="295"/>
      <c r="E41" s="296">
        <f>C41+Voće!F100/11+Voće!F101/11+Voće!F102</f>
        <v>116.241</v>
      </c>
      <c r="F41" s="295"/>
      <c r="G41" s="296">
        <f>E41+Voće!F93+Voće!F94+Voće!F95+Voće!F96/4+Voće!F100/11+Voće!F101/11+Voće!F103+Voće!F104</f>
        <v>541.91639999999995</v>
      </c>
      <c r="H41" s="295"/>
      <c r="I41" s="296">
        <f>G41+Voće!F96/4+Voće!F97+Voće!F98+Voće!F99+Voće!F100/11+Voće!F101/11+Voće!F105+Voće!F106+Voće!F107</f>
        <v>748.35619999999994</v>
      </c>
      <c r="J41" s="295"/>
      <c r="K41" s="297">
        <f>I41+Voće!F100/11*3+Voće!F101/11*3+Voće!F108+Voće!F109+Voće!F110+Voće!F111+Voće!F112+Voće!F113+Voće!F114+Voće!F115</f>
        <v>881.90909999999985</v>
      </c>
      <c r="L41" s="295"/>
      <c r="M41" s="296">
        <f>K41+Voće!F96/4+Voće!F100/11*2+Voće!F101/11*2+Voće!F116+Voće!F117+Voće!F118+Voće!F119+Voće!F120</f>
        <v>989.06329999999991</v>
      </c>
      <c r="N41" s="295"/>
      <c r="O41" s="296">
        <f>M41+Voće!F96/4+Voće!F100/11*2+Voće!F101/11*2+Voće!F121+Voće!F122+Voće!F123+Voće!F124+Voće!F125+Voće!F126+Voće!F127</f>
        <v>1231.2924999999998</v>
      </c>
      <c r="P41" s="295"/>
      <c r="Q41" s="296">
        <f>O41+Voće!F100/11+Voće!F101/11+Voće!F128+Voće!F129</f>
        <v>1292.6434999999997</v>
      </c>
      <c r="R41" s="295"/>
      <c r="S41" s="296">
        <f>Q41</f>
        <v>1292.6434999999997</v>
      </c>
      <c r="T41" s="295"/>
      <c r="U41" s="296">
        <v>0</v>
      </c>
      <c r="V41" s="295"/>
      <c r="W41" s="296">
        <f>U41+Voće!F92</f>
        <v>18.45</v>
      </c>
      <c r="X41" s="298"/>
      <c r="Y41" s="299">
        <f t="shared" ref="Y41:Y47" si="9">W41</f>
        <v>18.45</v>
      </c>
      <c r="Z41" s="298"/>
      <c r="AA41" s="300">
        <f t="shared" si="0"/>
        <v>0</v>
      </c>
      <c r="AB41" s="301">
        <f t="shared" si="1"/>
        <v>0</v>
      </c>
    </row>
    <row r="42" spans="1:29">
      <c r="A42" s="292">
        <v>39</v>
      </c>
      <c r="B42" s="293" t="s">
        <v>592</v>
      </c>
      <c r="C42" s="294">
        <f t="shared" si="8"/>
        <v>18.45</v>
      </c>
      <c r="D42" s="295"/>
      <c r="E42" s="296">
        <f>C42+Voće!F150/10+Voće!F151/10+Voće!F152</f>
        <v>42.894000000000005</v>
      </c>
      <c r="F42" s="295"/>
      <c r="G42" s="296">
        <f>E42+Voće!F143+Voće!F144+Voće!F145+Voće!F146/4+Voće!F150/10+Voće!F151/10+Voće!F153+Voće!F154</f>
        <v>468.72240000000005</v>
      </c>
      <c r="H42" s="295"/>
      <c r="I42" s="296">
        <f>G42+Voće!F147+Voće!F148+Voće!F149+Voće!F150/5+Voće!F151/5+Voće!F155+Voće!F156+Voće!F157+Voće!F158+Voće!F159</f>
        <v>690.2038</v>
      </c>
      <c r="J42" s="295"/>
      <c r="K42" s="297">
        <f>I42+Voće!F146/4+Voće!F150/10+Voće!F151/10+Voće!F160+Voće!F161+Voće!F162</f>
        <v>741.77999999999986</v>
      </c>
      <c r="L42" s="295"/>
      <c r="M42" s="296">
        <f>K42+Voće!F146/4+Voće!F150/5+Voće!F151/5+Voće!F163+Voće!F164+Voće!F165+Voće!F166+Voće!F167</f>
        <v>866.20269999999994</v>
      </c>
      <c r="N42" s="295"/>
      <c r="O42" s="296">
        <f>M42+Voće!F146/4+Voće!F150/5+Voće!F151/5+Voće!F168+Voće!F169+Voće!F170+Voće!F171+Voće!F172+Voće!F173+Voće!F174</f>
        <v>1041.3229000000001</v>
      </c>
      <c r="P42" s="295"/>
      <c r="Q42" s="296">
        <f>O42+Voće!F150/10+Voće!F151/10+Voće!F175+Voće!F176</f>
        <v>1083.9369000000002</v>
      </c>
      <c r="R42" s="295"/>
      <c r="S42" s="296">
        <f>Q42</f>
        <v>1083.9369000000002</v>
      </c>
      <c r="T42" s="295"/>
      <c r="U42" s="296">
        <v>0</v>
      </c>
      <c r="V42" s="295"/>
      <c r="W42" s="296">
        <f>Voće!F142</f>
        <v>18.45</v>
      </c>
      <c r="X42" s="298"/>
      <c r="Y42" s="299">
        <f t="shared" si="9"/>
        <v>18.45</v>
      </c>
      <c r="Z42" s="298"/>
      <c r="AA42" s="300">
        <f t="shared" si="0"/>
        <v>0</v>
      </c>
      <c r="AB42" s="301">
        <f t="shared" si="1"/>
        <v>0</v>
      </c>
    </row>
    <row r="43" spans="1:29">
      <c r="A43" s="292">
        <v>40</v>
      </c>
      <c r="B43" s="293" t="s">
        <v>593</v>
      </c>
      <c r="C43" s="294">
        <f t="shared" si="8"/>
        <v>21.623399999999997</v>
      </c>
      <c r="D43" s="295"/>
      <c r="E43" s="296">
        <f>C43+Voće!F197/8+Voće!F198/8+Voće!F199</f>
        <v>83.7744</v>
      </c>
      <c r="F43" s="295"/>
      <c r="G43" s="296">
        <f>E43+Voće!F190+Voće!F191+Voće!F192+Voće!F193/4+Voće!F197/8+Voće!F198/8+Voće!F200+Voće!F201</f>
        <v>388.21520000000004</v>
      </c>
      <c r="H43" s="295"/>
      <c r="I43" s="296">
        <f>G43+Voće!F194+Voće!F195+Voće!F196+Voće!F197/8+Voće!F198/8+Voće!F202</f>
        <v>499.59200000000004</v>
      </c>
      <c r="J43" s="295"/>
      <c r="K43" s="297">
        <f>I43+Voće!F193/4+Voće!F197/8+Voće!F198/8+Voće!F203+Voće!F204</f>
        <v>565.48820000000012</v>
      </c>
      <c r="L43" s="295"/>
      <c r="M43" s="296">
        <f>K43+Voće!F193/4+Voće!F197/8+Voće!F198/8+Voće!F205+Voće!F206</f>
        <v>602.92020000000014</v>
      </c>
      <c r="N43" s="295"/>
      <c r="O43" s="296">
        <f>M43+Voće!F193/4+Voće!F197/4+Voće!F198/4+Voće!F207+Voće!F208+Voće!F209</f>
        <v>665.6224000000002</v>
      </c>
      <c r="P43" s="295"/>
      <c r="Q43" s="296">
        <f>O43+Voće!F197/8+Voće!F198/8+Voće!F210</f>
        <v>820.31340000000023</v>
      </c>
      <c r="R43" s="295"/>
      <c r="S43" s="296">
        <v>0</v>
      </c>
      <c r="T43" s="295"/>
      <c r="U43" s="296">
        <v>0</v>
      </c>
      <c r="V43" s="295"/>
      <c r="W43" s="296">
        <f>Voće!F189</f>
        <v>21.623399999999997</v>
      </c>
      <c r="X43" s="298"/>
      <c r="Y43" s="299">
        <f t="shared" si="9"/>
        <v>21.623399999999997</v>
      </c>
      <c r="Z43" s="298"/>
      <c r="AA43" s="300">
        <f t="shared" si="0"/>
        <v>0</v>
      </c>
      <c r="AB43" s="301">
        <f t="shared" si="1"/>
        <v>0</v>
      </c>
    </row>
    <row r="44" spans="1:29">
      <c r="A44" s="292">
        <v>41</v>
      </c>
      <c r="B44" s="293" t="s">
        <v>594</v>
      </c>
      <c r="C44" s="294">
        <f t="shared" si="8"/>
        <v>21.623399999999997</v>
      </c>
      <c r="D44" s="295"/>
      <c r="E44" s="296">
        <f>C44+Voće!F231/2+Voće!F232/2+Voće!F233</f>
        <v>144.91439999999997</v>
      </c>
      <c r="F44" s="295"/>
      <c r="G44" s="296">
        <f>E44+Voće!F224+Voće!F225+Voće!F226+Voće!F227/4</f>
        <v>287.71629999999999</v>
      </c>
      <c r="H44" s="295"/>
      <c r="I44" s="296">
        <f>G44+Voće!F228+Voće!F229+Voće!F230</f>
        <v>342.20089999999999</v>
      </c>
      <c r="J44" s="295"/>
      <c r="K44" s="297">
        <f>I44+Voće!F227/4+Voće!F231/2+Voće!F232/2+Voće!F234+Voće!F235</f>
        <v>391.25909999999999</v>
      </c>
      <c r="L44" s="295"/>
      <c r="M44" s="296">
        <f>K44+Voće!F227/4</f>
        <v>394.50630000000001</v>
      </c>
      <c r="N44" s="295"/>
      <c r="O44" s="296">
        <f>M44+Voće!F227/4</f>
        <v>397.75350000000003</v>
      </c>
      <c r="P44" s="295"/>
      <c r="Q44" s="296">
        <v>0</v>
      </c>
      <c r="R44" s="295"/>
      <c r="S44" s="296">
        <v>0</v>
      </c>
      <c r="T44" s="295"/>
      <c r="U44" s="296">
        <v>0</v>
      </c>
      <c r="V44" s="295"/>
      <c r="W44" s="296">
        <f>Voće!F223</f>
        <v>21.623399999999997</v>
      </c>
      <c r="X44" s="298"/>
      <c r="Y44" s="299">
        <f t="shared" si="9"/>
        <v>21.623399999999997</v>
      </c>
      <c r="Z44" s="298"/>
      <c r="AA44" s="300">
        <f t="shared" si="0"/>
        <v>0</v>
      </c>
      <c r="AB44" s="301">
        <f t="shared" si="1"/>
        <v>0</v>
      </c>
    </row>
    <row r="45" spans="1:29">
      <c r="A45" s="292">
        <v>42</v>
      </c>
      <c r="B45" s="293" t="s">
        <v>595</v>
      </c>
      <c r="C45" s="294">
        <f t="shared" si="8"/>
        <v>21.623399999999997</v>
      </c>
      <c r="D45" s="295"/>
      <c r="E45" s="296">
        <f>C45</f>
        <v>21.623399999999997</v>
      </c>
      <c r="F45" s="295"/>
      <c r="G45" s="296">
        <f>E45+Voće!F249+Voće!F250+Voće!F251+Voće!F252/4+Voće!F256/7+Voće!F257/7+Voće!F258</f>
        <v>251.09519999999998</v>
      </c>
      <c r="H45" s="295"/>
      <c r="I45" s="296">
        <f>G45+Voće!F252/4+Voće!F253+Voće!F254+Voće!F255</f>
        <v>388.42599999999999</v>
      </c>
      <c r="J45" s="295"/>
      <c r="K45" s="297">
        <f>I45+Voće!F256/7*2+Voće!F257/7*2+Voće!F259+Voće!F260+Voće!F261+Voće!F262+Voće!F263+Voće!F264</f>
        <v>665.81449999999995</v>
      </c>
      <c r="L45" s="295"/>
      <c r="M45" s="296">
        <f>K45+Voće!F252/4+Voće!F256/7*2+Voće!F257/7*2+Voće!F265+Voće!F266+Voće!F267+Voće!F268+Voće!F269+Voće!F270+Voće!F271+Voće!F272</f>
        <v>917.3202</v>
      </c>
      <c r="N45" s="295"/>
      <c r="O45" s="296">
        <f>M45+Voće!F252/4+Voće!F256/7+Voće!F257/7+Voće!F273+Voće!F274+Voće!F275</f>
        <v>1083.9484</v>
      </c>
      <c r="P45" s="295"/>
      <c r="Q45" s="296">
        <f>O45+Voće!F256/7+Voće!F257/7+Voće!F276</f>
        <v>1115.7194</v>
      </c>
      <c r="R45" s="295"/>
      <c r="S45" s="296">
        <v>0</v>
      </c>
      <c r="T45" s="295"/>
      <c r="U45" s="296">
        <v>0</v>
      </c>
      <c r="V45" s="295"/>
      <c r="W45" s="296">
        <f>Voće!F248</f>
        <v>21.623399999999997</v>
      </c>
      <c r="X45" s="298"/>
      <c r="Y45" s="299">
        <f t="shared" si="9"/>
        <v>21.623399999999997</v>
      </c>
      <c r="Z45" s="298"/>
      <c r="AA45" s="300">
        <f t="shared" si="0"/>
        <v>0</v>
      </c>
      <c r="AB45" s="301">
        <f t="shared" si="1"/>
        <v>0</v>
      </c>
    </row>
    <row r="46" spans="1:29">
      <c r="A46" s="292">
        <v>43</v>
      </c>
      <c r="B46" s="293" t="s">
        <v>596</v>
      </c>
      <c r="C46" s="294">
        <f t="shared" si="8"/>
        <v>143.83439999999999</v>
      </c>
      <c r="D46" s="295"/>
      <c r="E46" s="296">
        <f>C46</f>
        <v>143.83439999999999</v>
      </c>
      <c r="F46" s="295"/>
      <c r="G46" s="296">
        <f>E46+Voće!F290+Voće!F291+Voće!F292+Voće!F293/4+Voće!F297/7+Voće!F298/7+Voće!F299</f>
        <v>617.45980000000009</v>
      </c>
      <c r="H46" s="295"/>
      <c r="I46" s="296">
        <f>G46+Voće!F293/4+Voće!F294+Voće!F295+Voće!F296+Voće!F297/7+Voće!F298/7+Voće!F300</f>
        <v>827.14160000000004</v>
      </c>
      <c r="J46" s="295"/>
      <c r="K46" s="297">
        <f>I46+Voće!F297/7+Voće!F298/7+Voće!F301</f>
        <v>841.34260000000006</v>
      </c>
      <c r="L46" s="295"/>
      <c r="M46" s="296">
        <f>K46+Voće!F293/4+Voće!F297/7+Voće!F298/7+Voće!F302+Voće!F303</f>
        <v>1015.4308000000001</v>
      </c>
      <c r="N46" s="295"/>
      <c r="O46" s="296">
        <f>M46+Voće!F293/4+Voće!F297/7+Voće!F298/7+Voće!F304</f>
        <v>1050.4490000000001</v>
      </c>
      <c r="P46" s="295"/>
      <c r="Q46" s="296">
        <f>O46+Voće!F297/7+Voće!F298/7+Voće!F305</f>
        <v>1082.22</v>
      </c>
      <c r="R46" s="295"/>
      <c r="S46" s="296">
        <f>Voće!F297/7+Voće!F298/7+Voće!F306</f>
        <v>122.211</v>
      </c>
      <c r="T46" s="295"/>
      <c r="U46" s="296">
        <f>S46</f>
        <v>122.211</v>
      </c>
      <c r="V46" s="295"/>
      <c r="W46" s="296">
        <f>U46+Voće!F289</f>
        <v>143.83439999999999</v>
      </c>
      <c r="X46" s="298"/>
      <c r="Y46" s="299">
        <f t="shared" si="9"/>
        <v>143.83439999999999</v>
      </c>
      <c r="Z46" s="298"/>
      <c r="AA46" s="300">
        <f t="shared" si="0"/>
        <v>0</v>
      </c>
      <c r="AB46" s="301">
        <f t="shared" si="1"/>
        <v>0</v>
      </c>
    </row>
    <row r="47" spans="1:29">
      <c r="A47" s="292">
        <v>44</v>
      </c>
      <c r="B47" s="293" t="s">
        <v>597</v>
      </c>
      <c r="C47" s="294">
        <f t="shared" si="8"/>
        <v>83.7744</v>
      </c>
      <c r="D47" s="295"/>
      <c r="E47" s="296">
        <f>C47+Voće!F327/6+Voće!F328/6+Voće!F329</f>
        <v>145.92540000000002</v>
      </c>
      <c r="F47" s="295"/>
      <c r="G47" s="296">
        <f>E47+Voće!F320+Voće!F321+Voće!F322+Voće!F323/4</f>
        <v>323.25620000000009</v>
      </c>
      <c r="H47" s="295"/>
      <c r="I47" s="296">
        <f>G47+Voće!F323/4+Voće!F324+Voće!F325+Voće!F326+Voće!F327/6+Voće!F328/6+Voće!F330+Voće!F331+Voće!F332+Voće!F333+Voće!F334+Voće!F335+Voće!F336+Voće!F327/6+Voće!F328/6</f>
        <v>568.25800000000004</v>
      </c>
      <c r="J47" s="295"/>
      <c r="K47" s="297">
        <f>I47+Voće!F327/6+Voće!F328/6+Voće!F337+Voće!F338</f>
        <v>600.28399999999999</v>
      </c>
      <c r="L47" s="295"/>
      <c r="M47" s="296">
        <f>K47+Voće!F323/4+Voće!F327/6+Voće!F328/6+Voće!F339+Voće!F340</f>
        <v>774.37220000000002</v>
      </c>
      <c r="N47" s="295"/>
      <c r="O47" s="303">
        <f>M47+Voće!F323/4</f>
        <v>777.61940000000004</v>
      </c>
      <c r="P47" s="295"/>
      <c r="Q47" s="296">
        <v>0</v>
      </c>
      <c r="R47" s="295"/>
      <c r="S47" s="296">
        <v>0</v>
      </c>
      <c r="T47" s="295"/>
      <c r="U47" s="296">
        <f>Voće!F327/6+Voće!F328/6+Voće!F341</f>
        <v>62.151000000000003</v>
      </c>
      <c r="V47" s="295"/>
      <c r="W47" s="296">
        <f>U47+Voće!F319</f>
        <v>83.7744</v>
      </c>
      <c r="X47" s="298"/>
      <c r="Y47" s="299">
        <f t="shared" si="9"/>
        <v>83.7744</v>
      </c>
      <c r="Z47" s="298"/>
      <c r="AA47" s="300">
        <f t="shared" si="0"/>
        <v>0</v>
      </c>
      <c r="AB47" s="301">
        <f t="shared" si="1"/>
        <v>0</v>
      </c>
    </row>
    <row r="48" spans="1:29">
      <c r="A48" s="292">
        <v>45</v>
      </c>
      <c r="B48" s="293" t="s">
        <v>598</v>
      </c>
      <c r="C48" s="294">
        <v>0</v>
      </c>
      <c r="D48" s="295"/>
      <c r="E48" s="296">
        <v>0</v>
      </c>
      <c r="F48" s="295"/>
      <c r="G48" s="296">
        <f>Voće!F354+Voće!F355+Voće!F356+Voće!F357/4+Voće!F361/4+Voće!F362/4+Voće!F363</f>
        <v>263.65539999999999</v>
      </c>
      <c r="H48" s="295"/>
      <c r="I48" s="296">
        <f>G48+Voće!F357/4+Voće!F358+Voće!F359+Voće!F360</f>
        <v>400.9862</v>
      </c>
      <c r="J48" s="295"/>
      <c r="K48" s="297">
        <f>I48+Voće!F361/4+Voće!F362/4+Voće!F364</f>
        <v>427.62439999999998</v>
      </c>
      <c r="L48" s="295"/>
      <c r="M48" s="296">
        <f>K48+Voće!F357/4+Voće!F361/2+Voće!F362/2+Voće!F365+Voće!F366+Voće!F367</f>
        <v>589.75439999999992</v>
      </c>
      <c r="N48" s="295"/>
      <c r="O48" s="296">
        <f>M48+Voće!F357/4</f>
        <v>593.00159999999994</v>
      </c>
      <c r="P48" s="295"/>
      <c r="Q48" s="296">
        <v>0</v>
      </c>
      <c r="R48" s="295"/>
      <c r="S48" s="296">
        <v>0</v>
      </c>
      <c r="T48" s="295"/>
      <c r="U48" s="296">
        <v>0</v>
      </c>
      <c r="V48" s="295"/>
      <c r="W48" s="296">
        <v>0</v>
      </c>
      <c r="X48" s="298"/>
      <c r="Y48" s="299">
        <v>0</v>
      </c>
      <c r="Z48" s="298"/>
      <c r="AA48" s="300">
        <f t="shared" si="0"/>
        <v>0</v>
      </c>
      <c r="AB48" s="301">
        <f t="shared" si="1"/>
        <v>0</v>
      </c>
    </row>
    <row r="49" spans="1:28">
      <c r="A49" s="292">
        <v>46</v>
      </c>
      <c r="B49" s="293" t="s">
        <v>599</v>
      </c>
      <c r="C49" s="294">
        <f>Y49</f>
        <v>21.623399999999997</v>
      </c>
      <c r="D49" s="295"/>
      <c r="E49" s="296">
        <f>C49</f>
        <v>21.623399999999997</v>
      </c>
      <c r="F49" s="295"/>
      <c r="G49" s="296">
        <f>E49+Voće!F381+Voće!F382+Voće!F383+Voće!F384/4</f>
        <v>95.355199999999996</v>
      </c>
      <c r="H49" s="295"/>
      <c r="I49" s="296">
        <f>'Zalihe na parceli'!G49+Voće!F384/4+Voće!F385+Voće!F386+Voće!F387+Voće!F388/2+Voće!F389/2+Voće!F390</f>
        <v>170.67799999999997</v>
      </c>
      <c r="J49" s="295"/>
      <c r="K49" s="297">
        <f>I49</f>
        <v>170.67799999999997</v>
      </c>
      <c r="L49" s="295"/>
      <c r="M49" s="296">
        <f>K49+Voće!F384/4+Voće!F388/2+Voće!F389/2+Voće!F391+Voće!F392</f>
        <v>204.27619999999993</v>
      </c>
      <c r="N49" s="295"/>
      <c r="O49" s="296">
        <f>M49+Voće!F384/4</f>
        <v>207.52339999999992</v>
      </c>
      <c r="P49" s="295"/>
      <c r="Q49" s="296">
        <f>O49</f>
        <v>207.52339999999992</v>
      </c>
      <c r="R49" s="295"/>
      <c r="S49" s="296">
        <f>Q49</f>
        <v>207.52339999999992</v>
      </c>
      <c r="T49" s="295"/>
      <c r="U49" s="296">
        <v>0</v>
      </c>
      <c r="V49" s="295"/>
      <c r="W49" s="296">
        <f>Voće!F380</f>
        <v>21.623399999999997</v>
      </c>
      <c r="X49" s="298"/>
      <c r="Y49" s="299">
        <f>W49</f>
        <v>21.623399999999997</v>
      </c>
      <c r="Z49" s="298"/>
      <c r="AA49" s="300">
        <f t="shared" si="0"/>
        <v>0</v>
      </c>
      <c r="AB49" s="301">
        <f t="shared" si="1"/>
        <v>0</v>
      </c>
    </row>
    <row r="50" spans="1:28">
      <c r="A50" s="307">
        <v>47</v>
      </c>
      <c r="B50" s="308" t="s">
        <v>600</v>
      </c>
      <c r="C50" s="309">
        <f>Y50</f>
        <v>21.623399999999997</v>
      </c>
      <c r="D50" s="310"/>
      <c r="E50" s="311">
        <f>C50</f>
        <v>21.623399999999997</v>
      </c>
      <c r="F50" s="310"/>
      <c r="G50" s="311">
        <f>E50+Voće!F406+Voće!F407+Voće!F408+Voće!F409/4</f>
        <v>95.355199999999996</v>
      </c>
      <c r="H50" s="310"/>
      <c r="I50" s="311">
        <f>G50+Voće!F409/4+Voće!F410+Voće!F411+Voće!F412+Voće!F413/2+Voće!F414/2+Voće!F415</f>
        <v>170.67799999999997</v>
      </c>
      <c r="J50" s="310"/>
      <c r="K50" s="312">
        <f>I50</f>
        <v>170.67799999999997</v>
      </c>
      <c r="L50" s="310"/>
      <c r="M50" s="311">
        <f>K50+Voće!F409/4+Voće!F413/2+Voće!F414/2+Voće!F416+Voće!F417</f>
        <v>204.27619999999993</v>
      </c>
      <c r="N50" s="310"/>
      <c r="O50" s="311">
        <f>M50+Voće!F409/4</f>
        <v>207.52339999999992</v>
      </c>
      <c r="P50" s="310"/>
      <c r="Q50" s="311">
        <f>O50</f>
        <v>207.52339999999992</v>
      </c>
      <c r="R50" s="310"/>
      <c r="S50" s="311">
        <f>Q50</f>
        <v>207.52339999999992</v>
      </c>
      <c r="T50" s="310"/>
      <c r="U50" s="311">
        <v>0</v>
      </c>
      <c r="V50" s="310"/>
      <c r="W50" s="311">
        <f>Voće!F405</f>
        <v>21.623399999999997</v>
      </c>
      <c r="X50" s="313"/>
      <c r="Y50" s="314">
        <f>W50</f>
        <v>21.623399999999997</v>
      </c>
      <c r="Z50" s="313"/>
      <c r="AA50" s="300">
        <f t="shared" si="0"/>
        <v>0</v>
      </c>
      <c r="AB50" s="315">
        <f t="shared" si="1"/>
        <v>0</v>
      </c>
    </row>
    <row r="51" spans="1:28">
      <c r="A51" s="292">
        <v>48</v>
      </c>
      <c r="B51" s="362" t="s">
        <v>698</v>
      </c>
      <c r="C51" s="309">
        <f>Y51</f>
        <v>78.533600000000007</v>
      </c>
      <c r="D51" s="310"/>
      <c r="E51" s="311">
        <f>C51+0.96*2+1.13*2+Voće!F443+Voće!F444</f>
        <v>172.45360000000002</v>
      </c>
      <c r="F51" s="310"/>
      <c r="G51" s="311">
        <f>E51+Voće!F433+Voće!F434+Voće!F435+Voće!F436+3.25</f>
        <v>252.58420000000001</v>
      </c>
      <c r="H51" s="310"/>
      <c r="I51" s="311">
        <f>G51+3.25+Voće!F438+Voće!F439+Voće!F440+0.96+1.13+Voće!F445</f>
        <v>389.42779999999999</v>
      </c>
      <c r="J51" s="310"/>
      <c r="K51" s="312">
        <f>I51+0.96+1.13+Voće!F446+Voće!F447+Voće!F448</f>
        <v>433.92179999999996</v>
      </c>
      <c r="L51" s="310"/>
      <c r="M51" s="311">
        <f>K51+3.25+0.96+1.13+Voće!F449+Voće!F450</f>
        <v>509.90979999999996</v>
      </c>
      <c r="N51" s="310"/>
      <c r="O51" s="311">
        <f>M51+3.25+0.96+1.13+Voće!F451</f>
        <v>527.35979999999995</v>
      </c>
      <c r="P51" s="310"/>
      <c r="Q51" s="311">
        <f>O51</f>
        <v>527.35979999999995</v>
      </c>
      <c r="R51" s="310"/>
      <c r="S51" s="311">
        <v>0</v>
      </c>
      <c r="T51" s="310"/>
      <c r="U51" s="311">
        <v>0</v>
      </c>
      <c r="V51" s="310"/>
      <c r="W51" s="311">
        <f>Voće!F430+Voće!F431+Voće!F432+0.96+1.13+Voće!F452</f>
        <v>78.533600000000007</v>
      </c>
      <c r="X51" s="313"/>
      <c r="Y51" s="314">
        <f>W51</f>
        <v>78.533600000000007</v>
      </c>
      <c r="Z51" s="313"/>
      <c r="AA51" s="300">
        <f t="shared" si="0"/>
        <v>0</v>
      </c>
      <c r="AB51" s="315">
        <f t="shared" si="1"/>
        <v>0</v>
      </c>
    </row>
    <row r="52" spans="1:28">
      <c r="A52" s="292">
        <v>49</v>
      </c>
      <c r="B52" s="316"/>
      <c r="C52" s="309"/>
      <c r="D52" s="310"/>
      <c r="E52" s="311"/>
      <c r="F52" s="310"/>
      <c r="G52" s="311"/>
      <c r="H52" s="310"/>
      <c r="I52" s="311"/>
      <c r="J52" s="310"/>
      <c r="K52" s="312"/>
      <c r="L52" s="310"/>
      <c r="M52" s="311"/>
      <c r="N52" s="310"/>
      <c r="O52" s="311"/>
      <c r="P52" s="310"/>
      <c r="Q52" s="311"/>
      <c r="R52" s="310"/>
      <c r="S52" s="311"/>
      <c r="T52" s="310"/>
      <c r="U52" s="311"/>
      <c r="V52" s="310"/>
      <c r="W52" s="311"/>
      <c r="X52" s="313"/>
      <c r="Y52" s="314"/>
      <c r="Z52" s="313"/>
      <c r="AA52" s="300">
        <f t="shared" si="0"/>
        <v>0</v>
      </c>
      <c r="AB52" s="315">
        <f t="shared" si="1"/>
        <v>0</v>
      </c>
    </row>
    <row r="53" spans="1:28" ht="13.5" thickBot="1">
      <c r="A53" s="317">
        <v>50</v>
      </c>
      <c r="B53" s="318"/>
      <c r="C53" s="319"/>
      <c r="D53" s="320"/>
      <c r="E53" s="321"/>
      <c r="F53" s="320"/>
      <c r="G53" s="321"/>
      <c r="H53" s="320"/>
      <c r="I53" s="321"/>
      <c r="J53" s="320"/>
      <c r="K53" s="322"/>
      <c r="L53" s="320"/>
      <c r="M53" s="321"/>
      <c r="N53" s="320"/>
      <c r="O53" s="321"/>
      <c r="P53" s="320"/>
      <c r="Q53" s="321"/>
      <c r="R53" s="320"/>
      <c r="S53" s="321"/>
      <c r="T53" s="320"/>
      <c r="U53" s="321"/>
      <c r="V53" s="320"/>
      <c r="W53" s="321"/>
      <c r="X53" s="323"/>
      <c r="Y53" s="324"/>
      <c r="Z53" s="323"/>
      <c r="AA53" s="325">
        <f t="shared" si="0"/>
        <v>0</v>
      </c>
      <c r="AB53" s="326">
        <f t="shared" si="1"/>
        <v>0</v>
      </c>
    </row>
    <row r="54" spans="1:28" s="333" customFormat="1">
      <c r="A54" s="327">
        <v>51</v>
      </c>
      <c r="B54" s="283" t="s">
        <v>633</v>
      </c>
      <c r="C54" s="328">
        <f>0/400</f>
        <v>0</v>
      </c>
      <c r="D54" s="329"/>
      <c r="E54" s="330">
        <f>Plastenici!F5/Plastenici!H22</f>
        <v>9.7000000000000017E-2</v>
      </c>
      <c r="F54" s="329"/>
      <c r="G54" s="330">
        <f>E54+(Plastenici!F7+Plastenici!F8+Plastenici!F9+Plastenici!F10+Plastenici!F11+Plastenici!F13+Plastenici!F14+Plastenici!F15+Plastenici!F16+Plastenici!F17)/Plastenici!H22</f>
        <v>0.26642490000000002</v>
      </c>
      <c r="H54" s="329"/>
      <c r="I54" s="330">
        <f>G54+(Plastenici!F18+Plastenici!F19+Plastenici!F21+Plastenici!F22)/Plastenici!H22</f>
        <v>0.40564990000000001</v>
      </c>
      <c r="J54" s="329"/>
      <c r="K54" s="331">
        <f t="shared" ref="K54:K61" si="10">I54</f>
        <v>0.40564990000000001</v>
      </c>
      <c r="L54" s="329"/>
      <c r="M54" s="330">
        <f t="shared" ref="M54:M61" si="11">K54</f>
        <v>0.40564990000000001</v>
      </c>
      <c r="N54" s="329"/>
      <c r="O54" s="330">
        <f>M54</f>
        <v>0.40564990000000001</v>
      </c>
      <c r="P54" s="329"/>
      <c r="Q54" s="330">
        <f>O54</f>
        <v>0.40564990000000001</v>
      </c>
      <c r="R54" s="329"/>
      <c r="S54" s="330">
        <f>Q54</f>
        <v>0.40564990000000001</v>
      </c>
      <c r="T54" s="329"/>
      <c r="U54" s="330">
        <v>0</v>
      </c>
      <c r="V54" s="329"/>
      <c r="W54" s="330">
        <v>0</v>
      </c>
      <c r="X54" s="329"/>
      <c r="Y54" s="330">
        <v>0</v>
      </c>
      <c r="Z54" s="332"/>
      <c r="AA54" s="290">
        <f t="shared" si="0"/>
        <v>0</v>
      </c>
      <c r="AB54" s="537"/>
    </row>
    <row r="55" spans="1:28">
      <c r="A55" s="292">
        <v>52</v>
      </c>
      <c r="B55" s="293" t="s">
        <v>634</v>
      </c>
      <c r="C55" s="334">
        <f>0</f>
        <v>0</v>
      </c>
      <c r="D55" s="295"/>
      <c r="E55" s="335">
        <f>Plastenici!F30/Plastenici!H49</f>
        <v>7.8E-2</v>
      </c>
      <c r="F55" s="295"/>
      <c r="G55" s="335">
        <f>E55+(Plastenici!F32+Plastenici!F33+Plastenici!F34+Plastenici!F35+Plastenici!F36+Plastenici!F38+Plastenici!F39+Plastenici!F40+Plastenici!F41+Plastenici!F42+Plastenici!F43+Plastenici!F44)/Plastenici!H49</f>
        <v>0.1831141046875</v>
      </c>
      <c r="H55" s="295"/>
      <c r="I55" s="335">
        <f>G55+(Plastenici!F45+Plastenici!F46+Plastenici!F48+Plastenici!F49)/Plastenici!H49</f>
        <v>0.23506722968749999</v>
      </c>
      <c r="J55" s="295"/>
      <c r="K55" s="336">
        <f t="shared" si="10"/>
        <v>0.23506722968749999</v>
      </c>
      <c r="L55" s="295"/>
      <c r="M55" s="335">
        <f t="shared" si="11"/>
        <v>0.23506722968749999</v>
      </c>
      <c r="N55" s="295"/>
      <c r="O55" s="335">
        <f>M55</f>
        <v>0.23506722968749999</v>
      </c>
      <c r="P55" s="295"/>
      <c r="Q55" s="335">
        <f>O55</f>
        <v>0.23506722968749999</v>
      </c>
      <c r="R55" s="295"/>
      <c r="S55" s="335">
        <v>0</v>
      </c>
      <c r="T55" s="295"/>
      <c r="U55" s="335">
        <v>0</v>
      </c>
      <c r="V55" s="295"/>
      <c r="W55" s="335">
        <v>0</v>
      </c>
      <c r="X55" s="295"/>
      <c r="Y55" s="335">
        <v>0</v>
      </c>
      <c r="Z55" s="298"/>
      <c r="AA55" s="300">
        <f t="shared" si="0"/>
        <v>0</v>
      </c>
      <c r="AB55" s="538"/>
    </row>
    <row r="56" spans="1:28">
      <c r="A56" s="292">
        <v>53</v>
      </c>
      <c r="B56" s="293" t="s">
        <v>635</v>
      </c>
      <c r="C56" s="334">
        <v>0</v>
      </c>
      <c r="D56" s="295"/>
      <c r="E56" s="335">
        <f>Plastenici!F57/Plastenici!H76</f>
        <v>7.8E-2</v>
      </c>
      <c r="F56" s="295"/>
      <c r="G56" s="335">
        <f>E56+(Plastenici!F59+Plastenici!F60+Plastenici!F61+Plastenici!F62+Plastenici!F63+Plastenici!F65+Plastenici!F66+Plastenici!F67+Plastenici!F68+Plastenici!F69+Plastenici!F70+Plastenici!F71)/Plastenici!H76</f>
        <v>0.188117545</v>
      </c>
      <c r="H56" s="295"/>
      <c r="I56" s="335">
        <f>G56+(Plastenici!F72+Plastenici!F73+Plastenici!F75+Plastenici!F76)/Plastenici!H76</f>
        <v>0.24548421166666665</v>
      </c>
      <c r="J56" s="295"/>
      <c r="K56" s="336">
        <f t="shared" si="10"/>
        <v>0.24548421166666665</v>
      </c>
      <c r="L56" s="295"/>
      <c r="M56" s="335">
        <f t="shared" si="11"/>
        <v>0.24548421166666665</v>
      </c>
      <c r="N56" s="295"/>
      <c r="O56" s="335">
        <f>M56</f>
        <v>0.24548421166666665</v>
      </c>
      <c r="P56" s="295"/>
      <c r="Q56" s="335">
        <f>O56</f>
        <v>0.24548421166666665</v>
      </c>
      <c r="R56" s="295"/>
      <c r="S56" s="335">
        <v>0</v>
      </c>
      <c r="T56" s="295"/>
      <c r="U56" s="335">
        <v>0</v>
      </c>
      <c r="V56" s="295"/>
      <c r="W56" s="335">
        <v>0</v>
      </c>
      <c r="X56" s="295"/>
      <c r="Y56" s="335">
        <v>0</v>
      </c>
      <c r="Z56" s="298"/>
      <c r="AA56" s="300">
        <f t="shared" si="0"/>
        <v>0</v>
      </c>
      <c r="AB56" s="538"/>
    </row>
    <row r="57" spans="1:28">
      <c r="A57" s="292">
        <v>54</v>
      </c>
      <c r="B57" s="293" t="s">
        <v>636</v>
      </c>
      <c r="C57" s="334">
        <v>0</v>
      </c>
      <c r="D57" s="295"/>
      <c r="E57" s="335">
        <f>Plastenici!F84/Plastenici!H105</f>
        <v>9.9000000000000005E-2</v>
      </c>
      <c r="F57" s="295"/>
      <c r="G57" s="335">
        <f>E57+(Plastenici!F86+Plastenici!F87+Plastenici!F88+Plastenici!F89+Plastenici!F90+Plastenici!F92+Plastenici!F93+Plastenici!F94+Plastenici!F95+Plastenici!F96+Plastenici!F97+Plastenici!F98+Plastenici!F99+Plastenici!F100)/Plastenici!H105</f>
        <v>0.36689107692307688</v>
      </c>
      <c r="H57" s="295"/>
      <c r="I57" s="335">
        <f>G57+(Plastenici!F101+Plastenici!F102+Plastenici!F104+Plastenici!F105)/Plastenici!H105</f>
        <v>0.4992756923076922</v>
      </c>
      <c r="J57" s="295"/>
      <c r="K57" s="336">
        <f t="shared" si="10"/>
        <v>0.4992756923076922</v>
      </c>
      <c r="L57" s="295"/>
      <c r="M57" s="335">
        <f t="shared" si="11"/>
        <v>0.4992756923076922</v>
      </c>
      <c r="N57" s="295"/>
      <c r="O57" s="335">
        <f>M57</f>
        <v>0.4992756923076922</v>
      </c>
      <c r="P57" s="295"/>
      <c r="Q57" s="335">
        <f>O57</f>
        <v>0.4992756923076922</v>
      </c>
      <c r="R57" s="295"/>
      <c r="S57" s="335">
        <v>0</v>
      </c>
      <c r="T57" s="295"/>
      <c r="U57" s="335">
        <v>0</v>
      </c>
      <c r="V57" s="295"/>
      <c r="W57" s="335">
        <v>0</v>
      </c>
      <c r="X57" s="295"/>
      <c r="Y57" s="335">
        <v>0</v>
      </c>
      <c r="Z57" s="298"/>
      <c r="AA57" s="300">
        <f t="shared" si="0"/>
        <v>0</v>
      </c>
      <c r="AB57" s="538"/>
    </row>
    <row r="58" spans="1:28">
      <c r="A58" s="307">
        <v>55</v>
      </c>
      <c r="B58" s="293" t="s">
        <v>637</v>
      </c>
      <c r="C58" s="334">
        <v>0</v>
      </c>
      <c r="D58" s="295"/>
      <c r="E58" s="335">
        <f>Plastenici!F113/Plastenici!H134</f>
        <v>9.9000000000000005E-2</v>
      </c>
      <c r="F58" s="295"/>
      <c r="G58" s="335">
        <f>E58+(Plastenici!F115+Plastenici!F116+Plastenici!F117+Plastenici!F118+Plastenici!F119+Plastenici!F121+Plastenici!F122+Plastenici!F123+Plastenici!F124+Plastenici!F125+Plastenici!F126+Plastenici!F127+Plastenici!F128+Plastenici!F129)/Plastenici!H134</f>
        <v>0.27312919999999996</v>
      </c>
      <c r="H58" s="295"/>
      <c r="I58" s="335">
        <f>G58+(Plastenici!F130+Plastenici!F131+Plastenici!F133+Plastenici!F134)/Plastenici!H134</f>
        <v>0.35917919999999992</v>
      </c>
      <c r="J58" s="295"/>
      <c r="K58" s="336">
        <f t="shared" si="10"/>
        <v>0.35917919999999992</v>
      </c>
      <c r="L58" s="295"/>
      <c r="M58" s="335">
        <f t="shared" si="11"/>
        <v>0.35917919999999992</v>
      </c>
      <c r="N58" s="295"/>
      <c r="O58" s="335">
        <f>M58</f>
        <v>0.35917919999999992</v>
      </c>
      <c r="P58" s="295"/>
      <c r="Q58" s="335">
        <f>O58</f>
        <v>0.35917919999999992</v>
      </c>
      <c r="R58" s="295"/>
      <c r="S58" s="335">
        <v>0</v>
      </c>
      <c r="T58" s="295"/>
      <c r="U58" s="335">
        <v>0</v>
      </c>
      <c r="V58" s="295"/>
      <c r="W58" s="335">
        <v>0</v>
      </c>
      <c r="X58" s="295"/>
      <c r="Y58" s="335">
        <v>0</v>
      </c>
      <c r="Z58" s="298"/>
      <c r="AA58" s="300">
        <f t="shared" si="0"/>
        <v>0</v>
      </c>
      <c r="AB58" s="538"/>
    </row>
    <row r="59" spans="1:28">
      <c r="A59" s="292">
        <v>56</v>
      </c>
      <c r="B59" s="293" t="s">
        <v>638</v>
      </c>
      <c r="C59" s="334">
        <v>0</v>
      </c>
      <c r="D59" s="295"/>
      <c r="E59" s="335">
        <f>Plastenici!F142/Plastenici!H154</f>
        <v>4.0399999999999998E-2</v>
      </c>
      <c r="F59" s="295"/>
      <c r="G59" s="335">
        <f>E59+(Plastenici!F144+Plastenici!F145+Plastenici!F147+Plastenici!F148+Plastenici!F149)/Plastenici!H154</f>
        <v>4.4197069999999998E-2</v>
      </c>
      <c r="H59" s="295"/>
      <c r="I59" s="335">
        <f>G59+(Plastenici!F150+Plastenici!F151+Plastenici!F153+Plastenici!F154)/Plastenici!H154</f>
        <v>5.1169569999999998E-2</v>
      </c>
      <c r="J59" s="295"/>
      <c r="K59" s="336">
        <f t="shared" si="10"/>
        <v>5.1169569999999998E-2</v>
      </c>
      <c r="L59" s="295"/>
      <c r="M59" s="335">
        <f t="shared" si="11"/>
        <v>5.1169569999999998E-2</v>
      </c>
      <c r="N59" s="295"/>
      <c r="O59" s="335">
        <v>0</v>
      </c>
      <c r="P59" s="295"/>
      <c r="Q59" s="335">
        <v>0</v>
      </c>
      <c r="R59" s="295"/>
      <c r="S59" s="335">
        <v>0</v>
      </c>
      <c r="T59" s="295"/>
      <c r="U59" s="335">
        <v>0</v>
      </c>
      <c r="V59" s="295"/>
      <c r="W59" s="335">
        <v>0</v>
      </c>
      <c r="X59" s="295"/>
      <c r="Y59" s="335">
        <v>0</v>
      </c>
      <c r="Z59" s="298"/>
      <c r="AA59" s="300">
        <f t="shared" si="0"/>
        <v>0</v>
      </c>
      <c r="AB59" s="538"/>
    </row>
    <row r="60" spans="1:28">
      <c r="A60" s="292">
        <v>57</v>
      </c>
      <c r="B60" s="293" t="s">
        <v>644</v>
      </c>
      <c r="C60" s="334">
        <v>0</v>
      </c>
      <c r="D60" s="295"/>
      <c r="E60" s="335">
        <f>Plastenici!F162/Plastenici!H173</f>
        <v>7.7503999999999993E-3</v>
      </c>
      <c r="F60" s="295"/>
      <c r="G60" s="335">
        <f>E60+(Plastenici!F164+Plastenici!F165+Plastenici!F167+Plastenici!F168)/Plastenici!H173</f>
        <v>2.5245440000000001E-2</v>
      </c>
      <c r="H60" s="295"/>
      <c r="I60" s="335">
        <f>G60+(Plastenici!F169+Plastenici!F170+Plastenici!F172+Plastenici!F173)/Plastenici!H173</f>
        <v>6.0872106666666669E-2</v>
      </c>
      <c r="J60" s="295"/>
      <c r="K60" s="336">
        <f t="shared" si="10"/>
        <v>6.0872106666666669E-2</v>
      </c>
      <c r="L60" s="295"/>
      <c r="M60" s="335">
        <f t="shared" si="11"/>
        <v>6.0872106666666669E-2</v>
      </c>
      <c r="N60" s="295"/>
      <c r="O60" s="335">
        <v>0</v>
      </c>
      <c r="P60" s="295"/>
      <c r="Q60" s="335">
        <v>0</v>
      </c>
      <c r="R60" s="295"/>
      <c r="S60" s="335">
        <v>0</v>
      </c>
      <c r="T60" s="295"/>
      <c r="U60" s="335">
        <v>0</v>
      </c>
      <c r="V60" s="295"/>
      <c r="W60" s="335">
        <v>0</v>
      </c>
      <c r="X60" s="295"/>
      <c r="Y60" s="335">
        <v>0</v>
      </c>
      <c r="Z60" s="298"/>
      <c r="AA60" s="300">
        <f t="shared" si="0"/>
        <v>0</v>
      </c>
      <c r="AB60" s="538"/>
    </row>
    <row r="61" spans="1:28">
      <c r="A61" s="292">
        <v>58</v>
      </c>
      <c r="B61" s="293" t="s">
        <v>639</v>
      </c>
      <c r="C61" s="334">
        <v>0</v>
      </c>
      <c r="D61" s="295"/>
      <c r="E61" s="335">
        <f>Plastenici!F181/Plastenici!H192</f>
        <v>1.3416666666666668E-3</v>
      </c>
      <c r="F61" s="295"/>
      <c r="G61" s="335">
        <f>E61+(Plastenici!F183+Plastenici!F184+Plastenici!F186+Plastenici!F187)/Plastenici!H192</f>
        <v>2.4967750000000006E-3</v>
      </c>
      <c r="H61" s="295"/>
      <c r="I61" s="335">
        <f>G61+(Plastenici!F188+Plastenici!F189+Plastenici!F191+Plastenici!F192)/Plastenici!H192</f>
        <v>4.4335805555555559E-3</v>
      </c>
      <c r="J61" s="295"/>
      <c r="K61" s="336">
        <f t="shared" si="10"/>
        <v>4.4335805555555559E-3</v>
      </c>
      <c r="L61" s="295"/>
      <c r="M61" s="335">
        <f t="shared" si="11"/>
        <v>4.4335805555555559E-3</v>
      </c>
      <c r="N61" s="295"/>
      <c r="O61" s="335">
        <v>0</v>
      </c>
      <c r="P61" s="295"/>
      <c r="Q61" s="335">
        <v>0</v>
      </c>
      <c r="R61" s="295"/>
      <c r="S61" s="335">
        <v>0</v>
      </c>
      <c r="T61" s="295"/>
      <c r="U61" s="335">
        <v>0</v>
      </c>
      <c r="V61" s="295"/>
      <c r="W61" s="335">
        <v>0</v>
      </c>
      <c r="X61" s="295"/>
      <c r="Y61" s="335">
        <v>0</v>
      </c>
      <c r="Z61" s="298"/>
      <c r="AA61" s="300">
        <f t="shared" si="0"/>
        <v>0</v>
      </c>
      <c r="AB61" s="538"/>
    </row>
    <row r="62" spans="1:28">
      <c r="A62" s="307">
        <v>59</v>
      </c>
      <c r="B62" s="337"/>
      <c r="C62" s="334"/>
      <c r="D62" s="295"/>
      <c r="E62" s="335"/>
      <c r="F62" s="295"/>
      <c r="G62" s="335"/>
      <c r="H62" s="295"/>
      <c r="I62" s="335"/>
      <c r="J62" s="295"/>
      <c r="K62" s="336"/>
      <c r="L62" s="295"/>
      <c r="M62" s="335"/>
      <c r="N62" s="295"/>
      <c r="O62" s="335"/>
      <c r="P62" s="295"/>
      <c r="Q62" s="335"/>
      <c r="R62" s="295"/>
      <c r="S62" s="335"/>
      <c r="T62" s="295"/>
      <c r="U62" s="335"/>
      <c r="V62" s="295"/>
      <c r="W62" s="335"/>
      <c r="X62" s="295"/>
      <c r="Y62" s="335"/>
      <c r="Z62" s="298"/>
      <c r="AA62" s="300">
        <f t="shared" si="0"/>
        <v>0</v>
      </c>
      <c r="AB62" s="538"/>
    </row>
    <row r="63" spans="1:28" ht="13.5" thickBot="1">
      <c r="A63" s="317">
        <v>60</v>
      </c>
      <c r="B63" s="318"/>
      <c r="C63" s="338"/>
      <c r="D63" s="320"/>
      <c r="E63" s="339"/>
      <c r="F63" s="320"/>
      <c r="G63" s="339"/>
      <c r="H63" s="320"/>
      <c r="I63" s="339"/>
      <c r="J63" s="320"/>
      <c r="K63" s="340"/>
      <c r="L63" s="320"/>
      <c r="M63" s="339"/>
      <c r="N63" s="320"/>
      <c r="O63" s="339"/>
      <c r="P63" s="320"/>
      <c r="Q63" s="339"/>
      <c r="R63" s="320"/>
      <c r="S63" s="339"/>
      <c r="T63" s="320"/>
      <c r="U63" s="339"/>
      <c r="V63" s="320"/>
      <c r="W63" s="339"/>
      <c r="X63" s="320"/>
      <c r="Y63" s="339"/>
      <c r="Z63" s="323"/>
      <c r="AA63" s="325">
        <f t="shared" si="0"/>
        <v>0</v>
      </c>
      <c r="AB63" s="539"/>
    </row>
    <row r="64" spans="1:28" ht="13.5" thickBot="1">
      <c r="A64" s="341"/>
      <c r="B64" s="342" t="s">
        <v>605</v>
      </c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540"/>
      <c r="U64" s="540"/>
      <c r="V64" s="540"/>
      <c r="W64" s="540"/>
      <c r="X64" s="540"/>
      <c r="Y64" s="540"/>
      <c r="Z64" s="541"/>
      <c r="AA64" s="343">
        <f>SUM(AA4:AA53)</f>
        <v>0</v>
      </c>
      <c r="AB64" s="344">
        <f>SUM(AB4:AB53)</f>
        <v>0</v>
      </c>
    </row>
  </sheetData>
  <mergeCells count="18">
    <mergeCell ref="C64:Z64"/>
    <mergeCell ref="M2:N2"/>
    <mergeCell ref="O2:P2"/>
    <mergeCell ref="Q2:R2"/>
    <mergeCell ref="S2:T2"/>
    <mergeCell ref="U2:V2"/>
    <mergeCell ref="W2:X2"/>
    <mergeCell ref="C2:D2"/>
    <mergeCell ref="E2:F2"/>
    <mergeCell ref="G2:H2"/>
    <mergeCell ref="I2:J2"/>
    <mergeCell ref="K2:L2"/>
    <mergeCell ref="Y2:Z2"/>
    <mergeCell ref="A1:A3"/>
    <mergeCell ref="B1:B3"/>
    <mergeCell ref="AA1:AB2"/>
    <mergeCell ref="C1:Z1"/>
    <mergeCell ref="AB54:AB63"/>
  </mergeCells>
  <pageMargins left="0.51181102362204722" right="0.51181102362204722" top="0.74803149606299213" bottom="0.74803149606299213" header="0.31496062992125984" footer="0.31496062992125984"/>
  <pageSetup scale="47" orientation="landscape" r:id="rId1"/>
  <colBreaks count="1" manualBreakCount="1">
    <brk id="21" max="63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44"/>
  <sheetViews>
    <sheetView workbookViewId="0">
      <selection activeCell="F1" sqref="F1"/>
    </sheetView>
  </sheetViews>
  <sheetFormatPr defaultRowHeight="12.75"/>
  <cols>
    <col min="1" max="1" width="3" style="256" bestFit="1" customWidth="1"/>
    <col min="2" max="2" width="32.28515625" style="256" customWidth="1"/>
    <col min="3" max="4" width="10.7109375" style="256" customWidth="1"/>
    <col min="5" max="6" width="17.7109375" style="256" customWidth="1"/>
    <col min="7" max="7" width="9.28515625" style="256" bestFit="1" customWidth="1"/>
    <col min="8" max="252" width="9.140625" style="256"/>
    <col min="253" max="253" width="2.7109375" style="256" bestFit="1" customWidth="1"/>
    <col min="254" max="254" width="26.5703125" style="256" bestFit="1" customWidth="1"/>
    <col min="255" max="257" width="9.140625" style="256"/>
    <col min="258" max="258" width="10" style="256" customWidth="1"/>
    <col min="259" max="261" width="9.140625" style="256"/>
    <col min="262" max="262" width="10.7109375" style="256" customWidth="1"/>
    <col min="263" max="508" width="9.140625" style="256"/>
    <col min="509" max="509" width="2.7109375" style="256" bestFit="1" customWidth="1"/>
    <col min="510" max="510" width="26.5703125" style="256" bestFit="1" customWidth="1"/>
    <col min="511" max="513" width="9.140625" style="256"/>
    <col min="514" max="514" width="10" style="256" customWidth="1"/>
    <col min="515" max="517" width="9.140625" style="256"/>
    <col min="518" max="518" width="10.7109375" style="256" customWidth="1"/>
    <col min="519" max="764" width="9.140625" style="256"/>
    <col min="765" max="765" width="2.7109375" style="256" bestFit="1" customWidth="1"/>
    <col min="766" max="766" width="26.5703125" style="256" bestFit="1" customWidth="1"/>
    <col min="767" max="769" width="9.140625" style="256"/>
    <col min="770" max="770" width="10" style="256" customWidth="1"/>
    <col min="771" max="773" width="9.140625" style="256"/>
    <col min="774" max="774" width="10.7109375" style="256" customWidth="1"/>
    <col min="775" max="1020" width="9.140625" style="256"/>
    <col min="1021" max="1021" width="2.7109375" style="256" bestFit="1" customWidth="1"/>
    <col min="1022" max="1022" width="26.5703125" style="256" bestFit="1" customWidth="1"/>
    <col min="1023" max="1025" width="9.140625" style="256"/>
    <col min="1026" max="1026" width="10" style="256" customWidth="1"/>
    <col min="1027" max="1029" width="9.140625" style="256"/>
    <col min="1030" max="1030" width="10.7109375" style="256" customWidth="1"/>
    <col min="1031" max="1276" width="9.140625" style="256"/>
    <col min="1277" max="1277" width="2.7109375" style="256" bestFit="1" customWidth="1"/>
    <col min="1278" max="1278" width="26.5703125" style="256" bestFit="1" customWidth="1"/>
    <col min="1279" max="1281" width="9.140625" style="256"/>
    <col min="1282" max="1282" width="10" style="256" customWidth="1"/>
    <col min="1283" max="1285" width="9.140625" style="256"/>
    <col min="1286" max="1286" width="10.7109375" style="256" customWidth="1"/>
    <col min="1287" max="1532" width="9.140625" style="256"/>
    <col min="1533" max="1533" width="2.7109375" style="256" bestFit="1" customWidth="1"/>
    <col min="1534" max="1534" width="26.5703125" style="256" bestFit="1" customWidth="1"/>
    <col min="1535" max="1537" width="9.140625" style="256"/>
    <col min="1538" max="1538" width="10" style="256" customWidth="1"/>
    <col min="1539" max="1541" width="9.140625" style="256"/>
    <col min="1542" max="1542" width="10.7109375" style="256" customWidth="1"/>
    <col min="1543" max="1788" width="9.140625" style="256"/>
    <col min="1789" max="1789" width="2.7109375" style="256" bestFit="1" customWidth="1"/>
    <col min="1790" max="1790" width="26.5703125" style="256" bestFit="1" customWidth="1"/>
    <col min="1791" max="1793" width="9.140625" style="256"/>
    <col min="1794" max="1794" width="10" style="256" customWidth="1"/>
    <col min="1795" max="1797" width="9.140625" style="256"/>
    <col min="1798" max="1798" width="10.7109375" style="256" customWidth="1"/>
    <col min="1799" max="2044" width="9.140625" style="256"/>
    <col min="2045" max="2045" width="2.7109375" style="256" bestFit="1" customWidth="1"/>
    <col min="2046" max="2046" width="26.5703125" style="256" bestFit="1" customWidth="1"/>
    <col min="2047" max="2049" width="9.140625" style="256"/>
    <col min="2050" max="2050" width="10" style="256" customWidth="1"/>
    <col min="2051" max="2053" width="9.140625" style="256"/>
    <col min="2054" max="2054" width="10.7109375" style="256" customWidth="1"/>
    <col min="2055" max="2300" width="9.140625" style="256"/>
    <col min="2301" max="2301" width="2.7109375" style="256" bestFit="1" customWidth="1"/>
    <col min="2302" max="2302" width="26.5703125" style="256" bestFit="1" customWidth="1"/>
    <col min="2303" max="2305" width="9.140625" style="256"/>
    <col min="2306" max="2306" width="10" style="256" customWidth="1"/>
    <col min="2307" max="2309" width="9.140625" style="256"/>
    <col min="2310" max="2310" width="10.7109375" style="256" customWidth="1"/>
    <col min="2311" max="2556" width="9.140625" style="256"/>
    <col min="2557" max="2557" width="2.7109375" style="256" bestFit="1" customWidth="1"/>
    <col min="2558" max="2558" width="26.5703125" style="256" bestFit="1" customWidth="1"/>
    <col min="2559" max="2561" width="9.140625" style="256"/>
    <col min="2562" max="2562" width="10" style="256" customWidth="1"/>
    <col min="2563" max="2565" width="9.140625" style="256"/>
    <col min="2566" max="2566" width="10.7109375" style="256" customWidth="1"/>
    <col min="2567" max="2812" width="9.140625" style="256"/>
    <col min="2813" max="2813" width="2.7109375" style="256" bestFit="1" customWidth="1"/>
    <col min="2814" max="2814" width="26.5703125" style="256" bestFit="1" customWidth="1"/>
    <col min="2815" max="2817" width="9.140625" style="256"/>
    <col min="2818" max="2818" width="10" style="256" customWidth="1"/>
    <col min="2819" max="2821" width="9.140625" style="256"/>
    <col min="2822" max="2822" width="10.7109375" style="256" customWidth="1"/>
    <col min="2823" max="3068" width="9.140625" style="256"/>
    <col min="3069" max="3069" width="2.7109375" style="256" bestFit="1" customWidth="1"/>
    <col min="3070" max="3070" width="26.5703125" style="256" bestFit="1" customWidth="1"/>
    <col min="3071" max="3073" width="9.140625" style="256"/>
    <col min="3074" max="3074" width="10" style="256" customWidth="1"/>
    <col min="3075" max="3077" width="9.140625" style="256"/>
    <col min="3078" max="3078" width="10.7109375" style="256" customWidth="1"/>
    <col min="3079" max="3324" width="9.140625" style="256"/>
    <col min="3325" max="3325" width="2.7109375" style="256" bestFit="1" customWidth="1"/>
    <col min="3326" max="3326" width="26.5703125" style="256" bestFit="1" customWidth="1"/>
    <col min="3327" max="3329" width="9.140625" style="256"/>
    <col min="3330" max="3330" width="10" style="256" customWidth="1"/>
    <col min="3331" max="3333" width="9.140625" style="256"/>
    <col min="3334" max="3334" width="10.7109375" style="256" customWidth="1"/>
    <col min="3335" max="3580" width="9.140625" style="256"/>
    <col min="3581" max="3581" width="2.7109375" style="256" bestFit="1" customWidth="1"/>
    <col min="3582" max="3582" width="26.5703125" style="256" bestFit="1" customWidth="1"/>
    <col min="3583" max="3585" width="9.140625" style="256"/>
    <col min="3586" max="3586" width="10" style="256" customWidth="1"/>
    <col min="3587" max="3589" width="9.140625" style="256"/>
    <col min="3590" max="3590" width="10.7109375" style="256" customWidth="1"/>
    <col min="3591" max="3836" width="9.140625" style="256"/>
    <col min="3837" max="3837" width="2.7109375" style="256" bestFit="1" customWidth="1"/>
    <col min="3838" max="3838" width="26.5703125" style="256" bestFit="1" customWidth="1"/>
    <col min="3839" max="3841" width="9.140625" style="256"/>
    <col min="3842" max="3842" width="10" style="256" customWidth="1"/>
    <col min="3843" max="3845" width="9.140625" style="256"/>
    <col min="3846" max="3846" width="10.7109375" style="256" customWidth="1"/>
    <col min="3847" max="4092" width="9.140625" style="256"/>
    <col min="4093" max="4093" width="2.7109375" style="256" bestFit="1" customWidth="1"/>
    <col min="4094" max="4094" width="26.5703125" style="256" bestFit="1" customWidth="1"/>
    <col min="4095" max="4097" width="9.140625" style="256"/>
    <col min="4098" max="4098" width="10" style="256" customWidth="1"/>
    <col min="4099" max="4101" width="9.140625" style="256"/>
    <col min="4102" max="4102" width="10.7109375" style="256" customWidth="1"/>
    <col min="4103" max="4348" width="9.140625" style="256"/>
    <col min="4349" max="4349" width="2.7109375" style="256" bestFit="1" customWidth="1"/>
    <col min="4350" max="4350" width="26.5703125" style="256" bestFit="1" customWidth="1"/>
    <col min="4351" max="4353" width="9.140625" style="256"/>
    <col min="4354" max="4354" width="10" style="256" customWidth="1"/>
    <col min="4355" max="4357" width="9.140625" style="256"/>
    <col min="4358" max="4358" width="10.7109375" style="256" customWidth="1"/>
    <col min="4359" max="4604" width="9.140625" style="256"/>
    <col min="4605" max="4605" width="2.7109375" style="256" bestFit="1" customWidth="1"/>
    <col min="4606" max="4606" width="26.5703125" style="256" bestFit="1" customWidth="1"/>
    <col min="4607" max="4609" width="9.140625" style="256"/>
    <col min="4610" max="4610" width="10" style="256" customWidth="1"/>
    <col min="4611" max="4613" width="9.140625" style="256"/>
    <col min="4614" max="4614" width="10.7109375" style="256" customWidth="1"/>
    <col min="4615" max="4860" width="9.140625" style="256"/>
    <col min="4861" max="4861" width="2.7109375" style="256" bestFit="1" customWidth="1"/>
    <col min="4862" max="4862" width="26.5703125" style="256" bestFit="1" customWidth="1"/>
    <col min="4863" max="4865" width="9.140625" style="256"/>
    <col min="4866" max="4866" width="10" style="256" customWidth="1"/>
    <col min="4867" max="4869" width="9.140625" style="256"/>
    <col min="4870" max="4870" width="10.7109375" style="256" customWidth="1"/>
    <col min="4871" max="5116" width="9.140625" style="256"/>
    <col min="5117" max="5117" width="2.7109375" style="256" bestFit="1" customWidth="1"/>
    <col min="5118" max="5118" width="26.5703125" style="256" bestFit="1" customWidth="1"/>
    <col min="5119" max="5121" width="9.140625" style="256"/>
    <col min="5122" max="5122" width="10" style="256" customWidth="1"/>
    <col min="5123" max="5125" width="9.140625" style="256"/>
    <col min="5126" max="5126" width="10.7109375" style="256" customWidth="1"/>
    <col min="5127" max="5372" width="9.140625" style="256"/>
    <col min="5373" max="5373" width="2.7109375" style="256" bestFit="1" customWidth="1"/>
    <col min="5374" max="5374" width="26.5703125" style="256" bestFit="1" customWidth="1"/>
    <col min="5375" max="5377" width="9.140625" style="256"/>
    <col min="5378" max="5378" width="10" style="256" customWidth="1"/>
    <col min="5379" max="5381" width="9.140625" style="256"/>
    <col min="5382" max="5382" width="10.7109375" style="256" customWidth="1"/>
    <col min="5383" max="5628" width="9.140625" style="256"/>
    <col min="5629" max="5629" width="2.7109375" style="256" bestFit="1" customWidth="1"/>
    <col min="5630" max="5630" width="26.5703125" style="256" bestFit="1" customWidth="1"/>
    <col min="5631" max="5633" width="9.140625" style="256"/>
    <col min="5634" max="5634" width="10" style="256" customWidth="1"/>
    <col min="5635" max="5637" width="9.140625" style="256"/>
    <col min="5638" max="5638" width="10.7109375" style="256" customWidth="1"/>
    <col min="5639" max="5884" width="9.140625" style="256"/>
    <col min="5885" max="5885" width="2.7109375" style="256" bestFit="1" customWidth="1"/>
    <col min="5886" max="5886" width="26.5703125" style="256" bestFit="1" customWidth="1"/>
    <col min="5887" max="5889" width="9.140625" style="256"/>
    <col min="5890" max="5890" width="10" style="256" customWidth="1"/>
    <col min="5891" max="5893" width="9.140625" style="256"/>
    <col min="5894" max="5894" width="10.7109375" style="256" customWidth="1"/>
    <col min="5895" max="6140" width="9.140625" style="256"/>
    <col min="6141" max="6141" width="2.7109375" style="256" bestFit="1" customWidth="1"/>
    <col min="6142" max="6142" width="26.5703125" style="256" bestFit="1" customWidth="1"/>
    <col min="6143" max="6145" width="9.140625" style="256"/>
    <col min="6146" max="6146" width="10" style="256" customWidth="1"/>
    <col min="6147" max="6149" width="9.140625" style="256"/>
    <col min="6150" max="6150" width="10.7109375" style="256" customWidth="1"/>
    <col min="6151" max="6396" width="9.140625" style="256"/>
    <col min="6397" max="6397" width="2.7109375" style="256" bestFit="1" customWidth="1"/>
    <col min="6398" max="6398" width="26.5703125" style="256" bestFit="1" customWidth="1"/>
    <col min="6399" max="6401" width="9.140625" style="256"/>
    <col min="6402" max="6402" width="10" style="256" customWidth="1"/>
    <col min="6403" max="6405" width="9.140625" style="256"/>
    <col min="6406" max="6406" width="10.7109375" style="256" customWidth="1"/>
    <col min="6407" max="6652" width="9.140625" style="256"/>
    <col min="6653" max="6653" width="2.7109375" style="256" bestFit="1" customWidth="1"/>
    <col min="6654" max="6654" width="26.5703125" style="256" bestFit="1" customWidth="1"/>
    <col min="6655" max="6657" width="9.140625" style="256"/>
    <col min="6658" max="6658" width="10" style="256" customWidth="1"/>
    <col min="6659" max="6661" width="9.140625" style="256"/>
    <col min="6662" max="6662" width="10.7109375" style="256" customWidth="1"/>
    <col min="6663" max="6908" width="9.140625" style="256"/>
    <col min="6909" max="6909" width="2.7109375" style="256" bestFit="1" customWidth="1"/>
    <col min="6910" max="6910" width="26.5703125" style="256" bestFit="1" customWidth="1"/>
    <col min="6911" max="6913" width="9.140625" style="256"/>
    <col min="6914" max="6914" width="10" style="256" customWidth="1"/>
    <col min="6915" max="6917" width="9.140625" style="256"/>
    <col min="6918" max="6918" width="10.7109375" style="256" customWidth="1"/>
    <col min="6919" max="7164" width="9.140625" style="256"/>
    <col min="7165" max="7165" width="2.7109375" style="256" bestFit="1" customWidth="1"/>
    <col min="7166" max="7166" width="26.5703125" style="256" bestFit="1" customWidth="1"/>
    <col min="7167" max="7169" width="9.140625" style="256"/>
    <col min="7170" max="7170" width="10" style="256" customWidth="1"/>
    <col min="7171" max="7173" width="9.140625" style="256"/>
    <col min="7174" max="7174" width="10.7109375" style="256" customWidth="1"/>
    <col min="7175" max="7420" width="9.140625" style="256"/>
    <col min="7421" max="7421" width="2.7109375" style="256" bestFit="1" customWidth="1"/>
    <col min="7422" max="7422" width="26.5703125" style="256" bestFit="1" customWidth="1"/>
    <col min="7423" max="7425" width="9.140625" style="256"/>
    <col min="7426" max="7426" width="10" style="256" customWidth="1"/>
    <col min="7427" max="7429" width="9.140625" style="256"/>
    <col min="7430" max="7430" width="10.7109375" style="256" customWidth="1"/>
    <col min="7431" max="7676" width="9.140625" style="256"/>
    <col min="7677" max="7677" width="2.7109375" style="256" bestFit="1" customWidth="1"/>
    <col min="7678" max="7678" width="26.5703125" style="256" bestFit="1" customWidth="1"/>
    <col min="7679" max="7681" width="9.140625" style="256"/>
    <col min="7682" max="7682" width="10" style="256" customWidth="1"/>
    <col min="7683" max="7685" width="9.140625" style="256"/>
    <col min="7686" max="7686" width="10.7109375" style="256" customWidth="1"/>
    <col min="7687" max="7932" width="9.140625" style="256"/>
    <col min="7933" max="7933" width="2.7109375" style="256" bestFit="1" customWidth="1"/>
    <col min="7934" max="7934" width="26.5703125" style="256" bestFit="1" customWidth="1"/>
    <col min="7935" max="7937" width="9.140625" style="256"/>
    <col min="7938" max="7938" width="10" style="256" customWidth="1"/>
    <col min="7939" max="7941" width="9.140625" style="256"/>
    <col min="7942" max="7942" width="10.7109375" style="256" customWidth="1"/>
    <col min="7943" max="8188" width="9.140625" style="256"/>
    <col min="8189" max="8189" width="2.7109375" style="256" bestFit="1" customWidth="1"/>
    <col min="8190" max="8190" width="26.5703125" style="256" bestFit="1" customWidth="1"/>
    <col min="8191" max="8193" width="9.140625" style="256"/>
    <col min="8194" max="8194" width="10" style="256" customWidth="1"/>
    <col min="8195" max="8197" width="9.140625" style="256"/>
    <col min="8198" max="8198" width="10.7109375" style="256" customWidth="1"/>
    <col min="8199" max="8444" width="9.140625" style="256"/>
    <col min="8445" max="8445" width="2.7109375" style="256" bestFit="1" customWidth="1"/>
    <col min="8446" max="8446" width="26.5703125" style="256" bestFit="1" customWidth="1"/>
    <col min="8447" max="8449" width="9.140625" style="256"/>
    <col min="8450" max="8450" width="10" style="256" customWidth="1"/>
    <col min="8451" max="8453" width="9.140625" style="256"/>
    <col min="8454" max="8454" width="10.7109375" style="256" customWidth="1"/>
    <col min="8455" max="8700" width="9.140625" style="256"/>
    <col min="8701" max="8701" width="2.7109375" style="256" bestFit="1" customWidth="1"/>
    <col min="8702" max="8702" width="26.5703125" style="256" bestFit="1" customWidth="1"/>
    <col min="8703" max="8705" width="9.140625" style="256"/>
    <col min="8706" max="8706" width="10" style="256" customWidth="1"/>
    <col min="8707" max="8709" width="9.140625" style="256"/>
    <col min="8710" max="8710" width="10.7109375" style="256" customWidth="1"/>
    <col min="8711" max="8956" width="9.140625" style="256"/>
    <col min="8957" max="8957" width="2.7109375" style="256" bestFit="1" customWidth="1"/>
    <col min="8958" max="8958" width="26.5703125" style="256" bestFit="1" customWidth="1"/>
    <col min="8959" max="8961" width="9.140625" style="256"/>
    <col min="8962" max="8962" width="10" style="256" customWidth="1"/>
    <col min="8963" max="8965" width="9.140625" style="256"/>
    <col min="8966" max="8966" width="10.7109375" style="256" customWidth="1"/>
    <col min="8967" max="9212" width="9.140625" style="256"/>
    <col min="9213" max="9213" width="2.7109375" style="256" bestFit="1" customWidth="1"/>
    <col min="9214" max="9214" width="26.5703125" style="256" bestFit="1" customWidth="1"/>
    <col min="9215" max="9217" width="9.140625" style="256"/>
    <col min="9218" max="9218" width="10" style="256" customWidth="1"/>
    <col min="9219" max="9221" width="9.140625" style="256"/>
    <col min="9222" max="9222" width="10.7109375" style="256" customWidth="1"/>
    <col min="9223" max="9468" width="9.140625" style="256"/>
    <col min="9469" max="9469" width="2.7109375" style="256" bestFit="1" customWidth="1"/>
    <col min="9470" max="9470" width="26.5703125" style="256" bestFit="1" customWidth="1"/>
    <col min="9471" max="9473" width="9.140625" style="256"/>
    <col min="9474" max="9474" width="10" style="256" customWidth="1"/>
    <col min="9475" max="9477" width="9.140625" style="256"/>
    <col min="9478" max="9478" width="10.7109375" style="256" customWidth="1"/>
    <col min="9479" max="9724" width="9.140625" style="256"/>
    <col min="9725" max="9725" width="2.7109375" style="256" bestFit="1" customWidth="1"/>
    <col min="9726" max="9726" width="26.5703125" style="256" bestFit="1" customWidth="1"/>
    <col min="9727" max="9729" width="9.140625" style="256"/>
    <col min="9730" max="9730" width="10" style="256" customWidth="1"/>
    <col min="9731" max="9733" width="9.140625" style="256"/>
    <col min="9734" max="9734" width="10.7109375" style="256" customWidth="1"/>
    <col min="9735" max="9980" width="9.140625" style="256"/>
    <col min="9981" max="9981" width="2.7109375" style="256" bestFit="1" customWidth="1"/>
    <col min="9982" max="9982" width="26.5703125" style="256" bestFit="1" customWidth="1"/>
    <col min="9983" max="9985" width="9.140625" style="256"/>
    <col min="9986" max="9986" width="10" style="256" customWidth="1"/>
    <col min="9987" max="9989" width="9.140625" style="256"/>
    <col min="9990" max="9990" width="10.7109375" style="256" customWidth="1"/>
    <col min="9991" max="10236" width="9.140625" style="256"/>
    <col min="10237" max="10237" width="2.7109375" style="256" bestFit="1" customWidth="1"/>
    <col min="10238" max="10238" width="26.5703125" style="256" bestFit="1" customWidth="1"/>
    <col min="10239" max="10241" width="9.140625" style="256"/>
    <col min="10242" max="10242" width="10" style="256" customWidth="1"/>
    <col min="10243" max="10245" width="9.140625" style="256"/>
    <col min="10246" max="10246" width="10.7109375" style="256" customWidth="1"/>
    <col min="10247" max="10492" width="9.140625" style="256"/>
    <col min="10493" max="10493" width="2.7109375" style="256" bestFit="1" customWidth="1"/>
    <col min="10494" max="10494" width="26.5703125" style="256" bestFit="1" customWidth="1"/>
    <col min="10495" max="10497" width="9.140625" style="256"/>
    <col min="10498" max="10498" width="10" style="256" customWidth="1"/>
    <col min="10499" max="10501" width="9.140625" style="256"/>
    <col min="10502" max="10502" width="10.7109375" style="256" customWidth="1"/>
    <col min="10503" max="10748" width="9.140625" style="256"/>
    <col min="10749" max="10749" width="2.7109375" style="256" bestFit="1" customWidth="1"/>
    <col min="10750" max="10750" width="26.5703125" style="256" bestFit="1" customWidth="1"/>
    <col min="10751" max="10753" width="9.140625" style="256"/>
    <col min="10754" max="10754" width="10" style="256" customWidth="1"/>
    <col min="10755" max="10757" width="9.140625" style="256"/>
    <col min="10758" max="10758" width="10.7109375" style="256" customWidth="1"/>
    <col min="10759" max="11004" width="9.140625" style="256"/>
    <col min="11005" max="11005" width="2.7109375" style="256" bestFit="1" customWidth="1"/>
    <col min="11006" max="11006" width="26.5703125" style="256" bestFit="1" customWidth="1"/>
    <col min="11007" max="11009" width="9.140625" style="256"/>
    <col min="11010" max="11010" width="10" style="256" customWidth="1"/>
    <col min="11011" max="11013" width="9.140625" style="256"/>
    <col min="11014" max="11014" width="10.7109375" style="256" customWidth="1"/>
    <col min="11015" max="11260" width="9.140625" style="256"/>
    <col min="11261" max="11261" width="2.7109375" style="256" bestFit="1" customWidth="1"/>
    <col min="11262" max="11262" width="26.5703125" style="256" bestFit="1" customWidth="1"/>
    <col min="11263" max="11265" width="9.140625" style="256"/>
    <col min="11266" max="11266" width="10" style="256" customWidth="1"/>
    <col min="11267" max="11269" width="9.140625" style="256"/>
    <col min="11270" max="11270" width="10.7109375" style="256" customWidth="1"/>
    <col min="11271" max="11516" width="9.140625" style="256"/>
    <col min="11517" max="11517" width="2.7109375" style="256" bestFit="1" customWidth="1"/>
    <col min="11518" max="11518" width="26.5703125" style="256" bestFit="1" customWidth="1"/>
    <col min="11519" max="11521" width="9.140625" style="256"/>
    <col min="11522" max="11522" width="10" style="256" customWidth="1"/>
    <col min="11523" max="11525" width="9.140625" style="256"/>
    <col min="11526" max="11526" width="10.7109375" style="256" customWidth="1"/>
    <col min="11527" max="11772" width="9.140625" style="256"/>
    <col min="11773" max="11773" width="2.7109375" style="256" bestFit="1" customWidth="1"/>
    <col min="11774" max="11774" width="26.5703125" style="256" bestFit="1" customWidth="1"/>
    <col min="11775" max="11777" width="9.140625" style="256"/>
    <col min="11778" max="11778" width="10" style="256" customWidth="1"/>
    <col min="11779" max="11781" width="9.140625" style="256"/>
    <col min="11782" max="11782" width="10.7109375" style="256" customWidth="1"/>
    <col min="11783" max="12028" width="9.140625" style="256"/>
    <col min="12029" max="12029" width="2.7109375" style="256" bestFit="1" customWidth="1"/>
    <col min="12030" max="12030" width="26.5703125" style="256" bestFit="1" customWidth="1"/>
    <col min="12031" max="12033" width="9.140625" style="256"/>
    <col min="12034" max="12034" width="10" style="256" customWidth="1"/>
    <col min="12035" max="12037" width="9.140625" style="256"/>
    <col min="12038" max="12038" width="10.7109375" style="256" customWidth="1"/>
    <col min="12039" max="12284" width="9.140625" style="256"/>
    <col min="12285" max="12285" width="2.7109375" style="256" bestFit="1" customWidth="1"/>
    <col min="12286" max="12286" width="26.5703125" style="256" bestFit="1" customWidth="1"/>
    <col min="12287" max="12289" width="9.140625" style="256"/>
    <col min="12290" max="12290" width="10" style="256" customWidth="1"/>
    <col min="12291" max="12293" width="9.140625" style="256"/>
    <col min="12294" max="12294" width="10.7109375" style="256" customWidth="1"/>
    <col min="12295" max="12540" width="9.140625" style="256"/>
    <col min="12541" max="12541" width="2.7109375" style="256" bestFit="1" customWidth="1"/>
    <col min="12542" max="12542" width="26.5703125" style="256" bestFit="1" customWidth="1"/>
    <col min="12543" max="12545" width="9.140625" style="256"/>
    <col min="12546" max="12546" width="10" style="256" customWidth="1"/>
    <col min="12547" max="12549" width="9.140625" style="256"/>
    <col min="12550" max="12550" width="10.7109375" style="256" customWidth="1"/>
    <col min="12551" max="12796" width="9.140625" style="256"/>
    <col min="12797" max="12797" width="2.7109375" style="256" bestFit="1" customWidth="1"/>
    <col min="12798" max="12798" width="26.5703125" style="256" bestFit="1" customWidth="1"/>
    <col min="12799" max="12801" width="9.140625" style="256"/>
    <col min="12802" max="12802" width="10" style="256" customWidth="1"/>
    <col min="12803" max="12805" width="9.140625" style="256"/>
    <col min="12806" max="12806" width="10.7109375" style="256" customWidth="1"/>
    <col min="12807" max="13052" width="9.140625" style="256"/>
    <col min="13053" max="13053" width="2.7109375" style="256" bestFit="1" customWidth="1"/>
    <col min="13054" max="13054" width="26.5703125" style="256" bestFit="1" customWidth="1"/>
    <col min="13055" max="13057" width="9.140625" style="256"/>
    <col min="13058" max="13058" width="10" style="256" customWidth="1"/>
    <col min="13059" max="13061" width="9.140625" style="256"/>
    <col min="13062" max="13062" width="10.7109375" style="256" customWidth="1"/>
    <col min="13063" max="13308" width="9.140625" style="256"/>
    <col min="13309" max="13309" width="2.7109375" style="256" bestFit="1" customWidth="1"/>
    <col min="13310" max="13310" width="26.5703125" style="256" bestFit="1" customWidth="1"/>
    <col min="13311" max="13313" width="9.140625" style="256"/>
    <col min="13314" max="13314" width="10" style="256" customWidth="1"/>
    <col min="13315" max="13317" width="9.140625" style="256"/>
    <col min="13318" max="13318" width="10.7109375" style="256" customWidth="1"/>
    <col min="13319" max="13564" width="9.140625" style="256"/>
    <col min="13565" max="13565" width="2.7109375" style="256" bestFit="1" customWidth="1"/>
    <col min="13566" max="13566" width="26.5703125" style="256" bestFit="1" customWidth="1"/>
    <col min="13567" max="13569" width="9.140625" style="256"/>
    <col min="13570" max="13570" width="10" style="256" customWidth="1"/>
    <col min="13571" max="13573" width="9.140625" style="256"/>
    <col min="13574" max="13574" width="10.7109375" style="256" customWidth="1"/>
    <col min="13575" max="13820" width="9.140625" style="256"/>
    <col min="13821" max="13821" width="2.7109375" style="256" bestFit="1" customWidth="1"/>
    <col min="13822" max="13822" width="26.5703125" style="256" bestFit="1" customWidth="1"/>
    <col min="13823" max="13825" width="9.140625" style="256"/>
    <col min="13826" max="13826" width="10" style="256" customWidth="1"/>
    <col min="13827" max="13829" width="9.140625" style="256"/>
    <col min="13830" max="13830" width="10.7109375" style="256" customWidth="1"/>
    <col min="13831" max="14076" width="9.140625" style="256"/>
    <col min="14077" max="14077" width="2.7109375" style="256" bestFit="1" customWidth="1"/>
    <col min="14078" max="14078" width="26.5703125" style="256" bestFit="1" customWidth="1"/>
    <col min="14079" max="14081" width="9.140625" style="256"/>
    <col min="14082" max="14082" width="10" style="256" customWidth="1"/>
    <col min="14083" max="14085" width="9.140625" style="256"/>
    <col min="14086" max="14086" width="10.7109375" style="256" customWidth="1"/>
    <col min="14087" max="14332" width="9.140625" style="256"/>
    <col min="14333" max="14333" width="2.7109375" style="256" bestFit="1" customWidth="1"/>
    <col min="14334" max="14334" width="26.5703125" style="256" bestFit="1" customWidth="1"/>
    <col min="14335" max="14337" width="9.140625" style="256"/>
    <col min="14338" max="14338" width="10" style="256" customWidth="1"/>
    <col min="14339" max="14341" width="9.140625" style="256"/>
    <col min="14342" max="14342" width="10.7109375" style="256" customWidth="1"/>
    <col min="14343" max="14588" width="9.140625" style="256"/>
    <col min="14589" max="14589" width="2.7109375" style="256" bestFit="1" customWidth="1"/>
    <col min="14590" max="14590" width="26.5703125" style="256" bestFit="1" customWidth="1"/>
    <col min="14591" max="14593" width="9.140625" style="256"/>
    <col min="14594" max="14594" width="10" style="256" customWidth="1"/>
    <col min="14595" max="14597" width="9.140625" style="256"/>
    <col min="14598" max="14598" width="10.7109375" style="256" customWidth="1"/>
    <col min="14599" max="14844" width="9.140625" style="256"/>
    <col min="14845" max="14845" width="2.7109375" style="256" bestFit="1" customWidth="1"/>
    <col min="14846" max="14846" width="26.5703125" style="256" bestFit="1" customWidth="1"/>
    <col min="14847" max="14849" width="9.140625" style="256"/>
    <col min="14850" max="14850" width="10" style="256" customWidth="1"/>
    <col min="14851" max="14853" width="9.140625" style="256"/>
    <col min="14854" max="14854" width="10.7109375" style="256" customWidth="1"/>
    <col min="14855" max="15100" width="9.140625" style="256"/>
    <col min="15101" max="15101" width="2.7109375" style="256" bestFit="1" customWidth="1"/>
    <col min="15102" max="15102" width="26.5703125" style="256" bestFit="1" customWidth="1"/>
    <col min="15103" max="15105" width="9.140625" style="256"/>
    <col min="15106" max="15106" width="10" style="256" customWidth="1"/>
    <col min="15107" max="15109" width="9.140625" style="256"/>
    <col min="15110" max="15110" width="10.7109375" style="256" customWidth="1"/>
    <col min="15111" max="15356" width="9.140625" style="256"/>
    <col min="15357" max="15357" width="2.7109375" style="256" bestFit="1" customWidth="1"/>
    <col min="15358" max="15358" width="26.5703125" style="256" bestFit="1" customWidth="1"/>
    <col min="15359" max="15361" width="9.140625" style="256"/>
    <col min="15362" max="15362" width="10" style="256" customWidth="1"/>
    <col min="15363" max="15365" width="9.140625" style="256"/>
    <col min="15366" max="15366" width="10.7109375" style="256" customWidth="1"/>
    <col min="15367" max="15612" width="9.140625" style="256"/>
    <col min="15613" max="15613" width="2.7109375" style="256" bestFit="1" customWidth="1"/>
    <col min="15614" max="15614" width="26.5703125" style="256" bestFit="1" customWidth="1"/>
    <col min="15615" max="15617" width="9.140625" style="256"/>
    <col min="15618" max="15618" width="10" style="256" customWidth="1"/>
    <col min="15619" max="15621" width="9.140625" style="256"/>
    <col min="15622" max="15622" width="10.7109375" style="256" customWidth="1"/>
    <col min="15623" max="15868" width="9.140625" style="256"/>
    <col min="15869" max="15869" width="2.7109375" style="256" bestFit="1" customWidth="1"/>
    <col min="15870" max="15870" width="26.5703125" style="256" bestFit="1" customWidth="1"/>
    <col min="15871" max="15873" width="9.140625" style="256"/>
    <col min="15874" max="15874" width="10" style="256" customWidth="1"/>
    <col min="15875" max="15877" width="9.140625" style="256"/>
    <col min="15878" max="15878" width="10.7109375" style="256" customWidth="1"/>
    <col min="15879" max="16124" width="9.140625" style="256"/>
    <col min="16125" max="16125" width="2.7109375" style="256" bestFit="1" customWidth="1"/>
    <col min="16126" max="16126" width="26.5703125" style="256" bestFit="1" customWidth="1"/>
    <col min="16127" max="16129" width="9.140625" style="256"/>
    <col min="16130" max="16130" width="10" style="256" customWidth="1"/>
    <col min="16131" max="16133" width="9.140625" style="256"/>
    <col min="16134" max="16134" width="10.7109375" style="256" customWidth="1"/>
    <col min="16135" max="16384" width="9.140625" style="256"/>
  </cols>
  <sheetData>
    <row r="1" spans="1:20" s="3" customFormat="1" ht="13.5" customHeight="1" thickBot="1">
      <c r="B1" s="250" t="s">
        <v>409</v>
      </c>
      <c r="D1" s="470" t="s">
        <v>1</v>
      </c>
      <c r="E1" s="471"/>
      <c r="F1" s="81">
        <v>0</v>
      </c>
    </row>
    <row r="2" spans="1:20" s="3" customFormat="1" ht="13.5" thickBot="1">
      <c r="D2" s="82"/>
      <c r="E2" s="83"/>
    </row>
    <row r="3" spans="1:20" s="3" customFormat="1" ht="11.25" customHeight="1">
      <c r="A3" s="472" t="s">
        <v>682</v>
      </c>
      <c r="B3" s="473"/>
      <c r="C3" s="473"/>
      <c r="D3" s="473"/>
      <c r="E3" s="465" t="s">
        <v>2</v>
      </c>
      <c r="F3" s="466"/>
    </row>
    <row r="4" spans="1:20" s="3" customFormat="1" ht="51.75" thickBot="1">
      <c r="A4" s="84" t="s">
        <v>716</v>
      </c>
      <c r="B4" s="84" t="s">
        <v>3</v>
      </c>
      <c r="C4" s="84" t="s">
        <v>4</v>
      </c>
      <c r="D4" s="84" t="s">
        <v>5</v>
      </c>
      <c r="E4" s="85" t="s">
        <v>6</v>
      </c>
      <c r="F4" s="86" t="s">
        <v>7</v>
      </c>
    </row>
    <row r="5" spans="1:20" s="3" customFormat="1" ht="13.5" thickTop="1">
      <c r="A5" s="17">
        <v>1</v>
      </c>
      <c r="B5" s="135" t="s">
        <v>410</v>
      </c>
      <c r="C5" s="133" t="s">
        <v>34</v>
      </c>
      <c r="D5" s="88">
        <v>1.23</v>
      </c>
      <c r="E5" s="134">
        <v>2.93</v>
      </c>
      <c r="F5" s="58">
        <f>E5*D5</f>
        <v>3.6039000000000003</v>
      </c>
    </row>
    <row r="6" spans="1:20" s="3" customFormat="1">
      <c r="A6" s="17">
        <v>2</v>
      </c>
      <c r="B6" s="91" t="s">
        <v>411</v>
      </c>
      <c r="C6" s="133" t="s">
        <v>42</v>
      </c>
      <c r="D6" s="88">
        <v>1.23</v>
      </c>
      <c r="E6" s="134">
        <v>0.65</v>
      </c>
      <c r="F6" s="58">
        <f>E6*D6</f>
        <v>0.79949999999999999</v>
      </c>
    </row>
    <row r="7" spans="1:20" s="3" customFormat="1">
      <c r="A7" s="17">
        <v>3</v>
      </c>
      <c r="B7" s="54" t="s">
        <v>8</v>
      </c>
      <c r="C7" s="133" t="s">
        <v>43</v>
      </c>
      <c r="D7" s="88">
        <v>1.23</v>
      </c>
      <c r="E7" s="134">
        <v>1.32</v>
      </c>
      <c r="F7" s="58">
        <f t="shared" ref="F7:F26" si="0">E7*D7</f>
        <v>1.6236000000000002</v>
      </c>
    </row>
    <row r="8" spans="1:20" s="3" customFormat="1">
      <c r="A8" s="17"/>
      <c r="B8" s="91" t="s">
        <v>10</v>
      </c>
      <c r="C8" s="133"/>
      <c r="D8" s="257">
        <v>0.35</v>
      </c>
      <c r="E8" s="134">
        <v>300</v>
      </c>
      <c r="F8" s="58">
        <f t="shared" si="0"/>
        <v>105</v>
      </c>
    </row>
    <row r="9" spans="1:20" s="3" customFormat="1">
      <c r="A9" s="17">
        <v>4</v>
      </c>
      <c r="B9" s="95" t="s">
        <v>412</v>
      </c>
      <c r="C9" s="133" t="s">
        <v>43</v>
      </c>
      <c r="D9" s="88">
        <v>1.23</v>
      </c>
      <c r="E9" s="134">
        <v>0.19</v>
      </c>
      <c r="F9" s="58">
        <f t="shared" si="0"/>
        <v>0.23369999999999999</v>
      </c>
    </row>
    <row r="10" spans="1:20" s="3" customFormat="1">
      <c r="A10" s="17"/>
      <c r="B10" s="95" t="s">
        <v>413</v>
      </c>
      <c r="C10" s="133" t="s">
        <v>43</v>
      </c>
      <c r="D10" s="88">
        <v>1.23</v>
      </c>
      <c r="E10" s="134">
        <v>2.4300000000000002</v>
      </c>
      <c r="F10" s="58">
        <f t="shared" si="0"/>
        <v>2.9889000000000001</v>
      </c>
    </row>
    <row r="11" spans="1:20" s="3" customFormat="1">
      <c r="A11" s="17">
        <v>5</v>
      </c>
      <c r="B11" s="96" t="s">
        <v>414</v>
      </c>
      <c r="C11" s="136" t="s">
        <v>43</v>
      </c>
      <c r="D11" s="88">
        <v>1.23</v>
      </c>
      <c r="E11" s="134">
        <v>3.61</v>
      </c>
      <c r="F11" s="58">
        <f t="shared" si="0"/>
        <v>4.4402999999999997</v>
      </c>
    </row>
    <row r="12" spans="1:20" s="3" customFormat="1">
      <c r="A12" s="17">
        <v>6</v>
      </c>
      <c r="B12" s="95" t="s">
        <v>415</v>
      </c>
      <c r="C12" s="136" t="s">
        <v>416</v>
      </c>
      <c r="D12" s="88">
        <v>1.23</v>
      </c>
      <c r="E12" s="134">
        <v>0.36</v>
      </c>
      <c r="F12" s="58">
        <f t="shared" si="0"/>
        <v>0.44279999999999997</v>
      </c>
    </row>
    <row r="13" spans="1:20" s="3" customFormat="1">
      <c r="A13" s="17"/>
      <c r="B13" s="91" t="s">
        <v>417</v>
      </c>
      <c r="C13" s="133"/>
      <c r="D13" s="258">
        <v>0</v>
      </c>
      <c r="E13" s="134">
        <v>12</v>
      </c>
      <c r="F13" s="58">
        <f t="shared" si="0"/>
        <v>0</v>
      </c>
    </row>
    <row r="14" spans="1:20" s="3" customFormat="1">
      <c r="A14" s="17">
        <v>7</v>
      </c>
      <c r="B14" s="91" t="s">
        <v>418</v>
      </c>
      <c r="C14" s="92" t="s">
        <v>416</v>
      </c>
      <c r="D14" s="88">
        <v>1.23</v>
      </c>
      <c r="E14" s="94">
        <v>0.56000000000000005</v>
      </c>
      <c r="F14" s="58">
        <f t="shared" si="0"/>
        <v>0.68880000000000008</v>
      </c>
    </row>
    <row r="15" spans="1:20" s="3" customFormat="1">
      <c r="A15" s="17">
        <v>8</v>
      </c>
      <c r="B15" s="96" t="s">
        <v>20</v>
      </c>
      <c r="C15" s="92" t="s">
        <v>21</v>
      </c>
      <c r="D15" s="88">
        <v>1.23</v>
      </c>
      <c r="E15" s="94">
        <v>0.96</v>
      </c>
      <c r="F15" s="58">
        <f t="shared" si="0"/>
        <v>1.1807999999999998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261" customFormat="1">
      <c r="A16" s="259">
        <v>9</v>
      </c>
      <c r="B16" s="162" t="s">
        <v>419</v>
      </c>
      <c r="C16" s="235" t="s">
        <v>21</v>
      </c>
      <c r="D16" s="88">
        <v>1.23</v>
      </c>
      <c r="E16" s="260">
        <v>0.92</v>
      </c>
      <c r="F16" s="58">
        <f t="shared" si="0"/>
        <v>1.1315999999999999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 s="261" customFormat="1">
      <c r="A17" s="259"/>
      <c r="B17" s="162" t="s">
        <v>650</v>
      </c>
      <c r="C17" s="163"/>
      <c r="D17" s="174">
        <v>9.19</v>
      </c>
      <c r="E17" s="262">
        <v>1.2</v>
      </c>
      <c r="F17" s="58">
        <f t="shared" si="0"/>
        <v>11.027999999999999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" customFormat="1">
      <c r="A18" s="17">
        <v>10</v>
      </c>
      <c r="B18" s="96" t="s">
        <v>8</v>
      </c>
      <c r="C18" s="136" t="s">
        <v>21</v>
      </c>
      <c r="D18" s="88">
        <v>1.23</v>
      </c>
      <c r="E18" s="134">
        <v>0.9</v>
      </c>
      <c r="F18" s="58">
        <f t="shared" si="0"/>
        <v>1.107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" customFormat="1">
      <c r="A19" s="17"/>
      <c r="B19" s="91" t="s">
        <v>420</v>
      </c>
      <c r="C19" s="136"/>
      <c r="D19" s="97">
        <v>0.26</v>
      </c>
      <c r="E19" s="134">
        <v>200</v>
      </c>
      <c r="F19" s="58">
        <f t="shared" si="0"/>
        <v>52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" customFormat="1">
      <c r="A20" s="17">
        <v>11</v>
      </c>
      <c r="B20" s="95" t="s">
        <v>421</v>
      </c>
      <c r="C20" s="133" t="s">
        <v>21</v>
      </c>
      <c r="D20" s="88">
        <v>1.23</v>
      </c>
      <c r="E20" s="134">
        <v>2.92</v>
      </c>
      <c r="F20" s="58">
        <f t="shared" si="0"/>
        <v>3.5915999999999997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" customFormat="1">
      <c r="A21" s="17">
        <v>12</v>
      </c>
      <c r="B21" s="96" t="s">
        <v>25</v>
      </c>
      <c r="C21" s="101" t="s">
        <v>79</v>
      </c>
      <c r="D21" s="88">
        <v>1.23</v>
      </c>
      <c r="E21" s="94">
        <v>8.33</v>
      </c>
      <c r="F21" s="58">
        <f t="shared" si="0"/>
        <v>10.245900000000001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" customFormat="1">
      <c r="A22" s="17">
        <v>13</v>
      </c>
      <c r="B22" s="96" t="s">
        <v>422</v>
      </c>
      <c r="C22" s="136" t="s">
        <v>79</v>
      </c>
      <c r="D22" s="88">
        <v>1.23</v>
      </c>
      <c r="E22" s="134">
        <v>5.64</v>
      </c>
      <c r="F22" s="58">
        <f t="shared" si="0"/>
        <v>6.9371999999999998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" customFormat="1" ht="11.25" customHeight="1">
      <c r="A23" s="11">
        <v>14</v>
      </c>
      <c r="B23" s="54" t="s">
        <v>110</v>
      </c>
      <c r="C23" s="87" t="s">
        <v>398</v>
      </c>
      <c r="D23" s="88">
        <v>1.23</v>
      </c>
      <c r="E23" s="89">
        <v>2.5</v>
      </c>
      <c r="F23" s="58">
        <f t="shared" si="0"/>
        <v>3.0750000000000002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 s="3" customFormat="1">
      <c r="A24" s="17">
        <v>15</v>
      </c>
      <c r="B24" s="54" t="s">
        <v>8</v>
      </c>
      <c r="C24" s="133" t="s">
        <v>43</v>
      </c>
      <c r="D24" s="88">
        <v>1.23</v>
      </c>
      <c r="E24" s="134">
        <v>1.32</v>
      </c>
      <c r="F24" s="58">
        <f t="shared" si="0"/>
        <v>1.6236000000000002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 s="3" customFormat="1">
      <c r="A25" s="17"/>
      <c r="B25" s="91" t="s">
        <v>10</v>
      </c>
      <c r="C25" s="133"/>
      <c r="D25" s="257">
        <v>0.34</v>
      </c>
      <c r="E25" s="134">
        <v>300</v>
      </c>
      <c r="F25" s="58">
        <f t="shared" si="0"/>
        <v>102.00000000000001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" customFormat="1" ht="13.5" thickBot="1">
      <c r="A26" s="30">
        <v>16</v>
      </c>
      <c r="B26" s="165" t="s">
        <v>423</v>
      </c>
      <c r="C26" s="140" t="s">
        <v>43</v>
      </c>
      <c r="D26" s="107">
        <v>1.23</v>
      </c>
      <c r="E26" s="116">
        <v>2.92</v>
      </c>
      <c r="F26" s="68">
        <f t="shared" si="0"/>
        <v>3.5915999999999997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 s="3" customFormat="1" ht="12.75" customHeight="1">
      <c r="A27" s="479" t="s">
        <v>30</v>
      </c>
      <c r="B27" s="474"/>
      <c r="C27" s="141"/>
      <c r="D27" s="88"/>
      <c r="E27" s="129"/>
      <c r="F27" s="130">
        <f>SUM(F5:F26)</f>
        <v>317.3338</v>
      </c>
      <c r="G27" s="263">
        <f>F1*F27</f>
        <v>0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" customFormat="1" ht="13.5" customHeight="1" thickBot="1">
      <c r="A28" s="467" t="s">
        <v>31</v>
      </c>
      <c r="B28" s="468"/>
      <c r="C28" s="469"/>
      <c r="D28" s="142"/>
      <c r="E28" s="116">
        <f>E5+E6+E7+E9+E10+E11+E12+E14+E15+E16+E18+E20+E21+E22+E23+E24+E26</f>
        <v>38.46</v>
      </c>
      <c r="F28" s="68"/>
      <c r="G28" s="264" t="s">
        <v>277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" customFormat="1" ht="13.5" thickBot="1">
      <c r="D29" s="82"/>
      <c r="E29" s="8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1:20" s="3" customFormat="1" ht="12" customHeight="1">
      <c r="A30" s="456" t="s">
        <v>683</v>
      </c>
      <c r="B30" s="457"/>
      <c r="C30" s="457"/>
      <c r="D30" s="457"/>
      <c r="E30" s="457"/>
      <c r="F30" s="458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 s="3" customFormat="1" ht="12.75" customHeight="1">
      <c r="A31" s="459"/>
      <c r="B31" s="460"/>
      <c r="C31" s="460"/>
      <c r="D31" s="460"/>
      <c r="E31" s="460"/>
      <c r="F31" s="461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 s="3" customFormat="1" ht="12.75" customHeight="1">
      <c r="A32" s="459"/>
      <c r="B32" s="460"/>
      <c r="C32" s="460"/>
      <c r="D32" s="460"/>
      <c r="E32" s="460"/>
      <c r="F32" s="461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s="3" customFormat="1" ht="12.75" customHeight="1">
      <c r="A33" s="459"/>
      <c r="B33" s="460"/>
      <c r="C33" s="460"/>
      <c r="D33" s="460"/>
      <c r="E33" s="460"/>
      <c r="F33" s="461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" customFormat="1" ht="12.75" customHeight="1">
      <c r="A34" s="459"/>
      <c r="B34" s="460"/>
      <c r="C34" s="460"/>
      <c r="D34" s="460"/>
      <c r="E34" s="460"/>
      <c r="F34" s="461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s="3" customFormat="1" ht="12.75" customHeight="1">
      <c r="A35" s="459"/>
      <c r="B35" s="460"/>
      <c r="C35" s="460"/>
      <c r="D35" s="460"/>
      <c r="E35" s="460"/>
      <c r="F35" s="461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3" customFormat="1" ht="15" customHeight="1">
      <c r="A36" s="459"/>
      <c r="B36" s="460"/>
      <c r="C36" s="460"/>
      <c r="D36" s="460"/>
      <c r="E36" s="460"/>
      <c r="F36" s="461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" customFormat="1" ht="15" customHeight="1" thickBot="1">
      <c r="A37" s="462"/>
      <c r="B37" s="463"/>
      <c r="C37" s="463"/>
      <c r="D37" s="463"/>
      <c r="E37" s="463"/>
      <c r="F37" s="46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ht="13.5" thickBot="1"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</row>
    <row r="39" spans="1:20" s="3" customFormat="1" ht="13.5" customHeight="1" thickBot="1">
      <c r="B39" s="250" t="s">
        <v>424</v>
      </c>
      <c r="D39" s="470" t="s">
        <v>1</v>
      </c>
      <c r="E39" s="471"/>
      <c r="F39" s="81">
        <v>0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" customFormat="1" ht="13.5" thickBot="1">
      <c r="D40" s="82"/>
      <c r="E40" s="8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" customFormat="1" ht="11.25" customHeight="1">
      <c r="A41" s="472" t="s">
        <v>682</v>
      </c>
      <c r="B41" s="473"/>
      <c r="C41" s="473"/>
      <c r="D41" s="473"/>
      <c r="E41" s="465" t="s">
        <v>2</v>
      </c>
      <c r="F41" s="466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" customFormat="1" ht="51.75" thickBot="1">
      <c r="A42" s="84" t="s">
        <v>716</v>
      </c>
      <c r="B42" s="84" t="s">
        <v>3</v>
      </c>
      <c r="C42" s="84" t="s">
        <v>4</v>
      </c>
      <c r="D42" s="84" t="s">
        <v>5</v>
      </c>
      <c r="E42" s="85" t="s">
        <v>6</v>
      </c>
      <c r="F42" s="86" t="s">
        <v>7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 s="3" customFormat="1" ht="13.5" thickTop="1">
      <c r="A43" s="11">
        <v>1</v>
      </c>
      <c r="B43" s="54" t="s">
        <v>425</v>
      </c>
      <c r="C43" s="132" t="s">
        <v>34</v>
      </c>
      <c r="D43" s="88">
        <v>1.23</v>
      </c>
      <c r="E43" s="129">
        <v>2.83</v>
      </c>
      <c r="F43" s="130">
        <f>E43*D43</f>
        <v>3.4809000000000001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 s="3" customFormat="1">
      <c r="A44" s="17">
        <v>2</v>
      </c>
      <c r="B44" s="96" t="s">
        <v>426</v>
      </c>
      <c r="C44" s="133" t="s">
        <v>34</v>
      </c>
      <c r="D44" s="88">
        <v>1.23</v>
      </c>
      <c r="E44" s="134">
        <v>15</v>
      </c>
      <c r="F44" s="58">
        <f>E44*D44</f>
        <v>18.45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 s="3" customFormat="1">
      <c r="A45" s="17">
        <v>3</v>
      </c>
      <c r="B45" s="135" t="s">
        <v>427</v>
      </c>
      <c r="C45" s="133" t="s">
        <v>34</v>
      </c>
      <c r="D45" s="88">
        <v>1.23</v>
      </c>
      <c r="E45" s="134">
        <v>8.7899999999999991</v>
      </c>
      <c r="F45" s="58">
        <f t="shared" ref="F45:F64" si="1">E45*D45</f>
        <v>10.811699999999998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 s="3" customFormat="1">
      <c r="A46" s="17">
        <v>4</v>
      </c>
      <c r="B46" s="91" t="s">
        <v>428</v>
      </c>
      <c r="C46" s="133" t="s">
        <v>42</v>
      </c>
      <c r="D46" s="88">
        <v>1.23</v>
      </c>
      <c r="E46" s="134">
        <v>1.95</v>
      </c>
      <c r="F46" s="58">
        <f t="shared" si="1"/>
        <v>2.3984999999999999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" customFormat="1">
      <c r="A47" s="17">
        <v>5</v>
      </c>
      <c r="B47" s="54" t="s">
        <v>8</v>
      </c>
      <c r="C47" s="133" t="s">
        <v>9</v>
      </c>
      <c r="D47" s="88">
        <v>1.23</v>
      </c>
      <c r="E47" s="134">
        <v>1.32</v>
      </c>
      <c r="F47" s="58">
        <f t="shared" si="1"/>
        <v>1.6236000000000002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 s="3" customFormat="1">
      <c r="A48" s="17"/>
      <c r="B48" s="91" t="s">
        <v>10</v>
      </c>
      <c r="C48" s="133"/>
      <c r="D48" s="257">
        <v>0.35</v>
      </c>
      <c r="E48" s="134">
        <v>300</v>
      </c>
      <c r="F48" s="58">
        <f t="shared" si="1"/>
        <v>105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 s="3" customFormat="1">
      <c r="A49" s="17">
        <v>6</v>
      </c>
      <c r="B49" s="95" t="s">
        <v>11</v>
      </c>
      <c r="C49" s="133" t="s">
        <v>9</v>
      </c>
      <c r="D49" s="88">
        <v>1.23</v>
      </c>
      <c r="E49" s="134">
        <v>0.96</v>
      </c>
      <c r="F49" s="58">
        <f t="shared" si="1"/>
        <v>1.1807999999999998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s="3" customFormat="1">
      <c r="A50" s="17">
        <v>7</v>
      </c>
      <c r="B50" s="96" t="s">
        <v>429</v>
      </c>
      <c r="C50" s="136" t="s">
        <v>9</v>
      </c>
      <c r="D50" s="88">
        <v>1.23</v>
      </c>
      <c r="E50" s="134">
        <v>10.83</v>
      </c>
      <c r="F50" s="58">
        <f t="shared" si="1"/>
        <v>13.3209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 s="3" customFormat="1">
      <c r="A51" s="184">
        <v>8</v>
      </c>
      <c r="B51" s="95" t="s">
        <v>430</v>
      </c>
      <c r="C51" s="185" t="s">
        <v>45</v>
      </c>
      <c r="D51" s="88">
        <v>1.23</v>
      </c>
      <c r="E51" s="186">
        <v>1.08</v>
      </c>
      <c r="F51" s="58">
        <f t="shared" si="1"/>
        <v>1.3284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s="3" customFormat="1">
      <c r="A52" s="184">
        <v>9</v>
      </c>
      <c r="B52" s="191" t="s">
        <v>431</v>
      </c>
      <c r="C52" s="185" t="s">
        <v>21</v>
      </c>
      <c r="D52" s="88">
        <v>1.23</v>
      </c>
      <c r="E52" s="186">
        <v>12.74</v>
      </c>
      <c r="F52" s="58">
        <f t="shared" si="1"/>
        <v>15.670199999999999</v>
      </c>
    </row>
    <row r="53" spans="1:20" s="3" customFormat="1">
      <c r="A53" s="17"/>
      <c r="B53" s="91" t="s">
        <v>717</v>
      </c>
      <c r="C53" s="133"/>
      <c r="D53" s="258">
        <v>0</v>
      </c>
      <c r="E53" s="134">
        <v>750</v>
      </c>
      <c r="F53" s="58">
        <f t="shared" si="1"/>
        <v>0</v>
      </c>
    </row>
    <row r="54" spans="1:20" s="3" customFormat="1">
      <c r="A54" s="17">
        <v>10</v>
      </c>
      <c r="B54" s="95" t="s">
        <v>432</v>
      </c>
      <c r="C54" s="136" t="s">
        <v>9</v>
      </c>
      <c r="D54" s="88">
        <v>1.23</v>
      </c>
      <c r="E54" s="134">
        <v>2.16</v>
      </c>
      <c r="F54" s="58">
        <f t="shared" si="1"/>
        <v>2.6568000000000001</v>
      </c>
    </row>
    <row r="55" spans="1:20" s="3" customFormat="1">
      <c r="A55" s="184">
        <v>11</v>
      </c>
      <c r="B55" s="95" t="s">
        <v>433</v>
      </c>
      <c r="C55" s="185" t="s">
        <v>21</v>
      </c>
      <c r="D55" s="88">
        <v>1.23</v>
      </c>
      <c r="E55" s="186">
        <v>20</v>
      </c>
      <c r="F55" s="58">
        <f t="shared" si="1"/>
        <v>24.6</v>
      </c>
    </row>
    <row r="56" spans="1:20" s="3" customFormat="1">
      <c r="A56" s="17">
        <v>12</v>
      </c>
      <c r="B56" s="96" t="s">
        <v>434</v>
      </c>
      <c r="C56" s="133" t="s">
        <v>435</v>
      </c>
      <c r="D56" s="88">
        <v>1.23</v>
      </c>
      <c r="E56" s="134">
        <v>2.7</v>
      </c>
      <c r="F56" s="58">
        <f t="shared" si="1"/>
        <v>3.3210000000000002</v>
      </c>
    </row>
    <row r="57" spans="1:20" s="3" customFormat="1">
      <c r="A57" s="17"/>
      <c r="B57" s="91" t="s">
        <v>51</v>
      </c>
      <c r="C57" s="136"/>
      <c r="D57" s="174">
        <v>0.32</v>
      </c>
      <c r="E57" s="134">
        <v>600</v>
      </c>
      <c r="F57" s="58">
        <f t="shared" si="1"/>
        <v>192</v>
      </c>
    </row>
    <row r="58" spans="1:20" s="3" customFormat="1">
      <c r="A58" s="17">
        <v>13</v>
      </c>
      <c r="B58" s="95" t="s">
        <v>436</v>
      </c>
      <c r="C58" s="133" t="s">
        <v>435</v>
      </c>
      <c r="D58" s="88">
        <v>1.23</v>
      </c>
      <c r="E58" s="134">
        <v>8.76</v>
      </c>
      <c r="F58" s="58">
        <f t="shared" si="1"/>
        <v>10.774799999999999</v>
      </c>
    </row>
    <row r="59" spans="1:20" s="3" customFormat="1">
      <c r="A59" s="259">
        <v>14</v>
      </c>
      <c r="B59" s="162" t="s">
        <v>47</v>
      </c>
      <c r="C59" s="163" t="s">
        <v>437</v>
      </c>
      <c r="D59" s="88">
        <v>1.23</v>
      </c>
      <c r="E59" s="262">
        <f>0.96*2</f>
        <v>1.92</v>
      </c>
      <c r="F59" s="58">
        <f t="shared" si="1"/>
        <v>2.3615999999999997</v>
      </c>
    </row>
    <row r="60" spans="1:20" s="261" customFormat="1">
      <c r="A60" s="259">
        <v>15</v>
      </c>
      <c r="B60" s="162" t="s">
        <v>438</v>
      </c>
      <c r="C60" s="163" t="s">
        <v>437</v>
      </c>
      <c r="D60" s="88">
        <v>1.23</v>
      </c>
      <c r="E60" s="262">
        <f>0.92*2</f>
        <v>1.84</v>
      </c>
      <c r="F60" s="58">
        <f t="shared" si="1"/>
        <v>2.2631999999999999</v>
      </c>
    </row>
    <row r="61" spans="1:20" s="261" customFormat="1">
      <c r="A61" s="259"/>
      <c r="B61" s="162" t="s">
        <v>439</v>
      </c>
      <c r="C61" s="163"/>
      <c r="D61" s="218">
        <v>11.24</v>
      </c>
      <c r="E61" s="262">
        <v>5</v>
      </c>
      <c r="F61" s="58">
        <f t="shared" si="1"/>
        <v>56.2</v>
      </c>
    </row>
    <row r="62" spans="1:20" s="261" customFormat="1" ht="11.25" customHeight="1">
      <c r="A62" s="259">
        <v>16</v>
      </c>
      <c r="B62" s="162" t="s">
        <v>440</v>
      </c>
      <c r="C62" s="235" t="s">
        <v>441</v>
      </c>
      <c r="D62" s="88">
        <v>1.23</v>
      </c>
      <c r="E62" s="260">
        <v>5</v>
      </c>
      <c r="F62" s="58">
        <f t="shared" si="1"/>
        <v>6.15</v>
      </c>
    </row>
    <row r="63" spans="1:20" s="261" customFormat="1" ht="11.25" customHeight="1">
      <c r="A63" s="266">
        <v>17</v>
      </c>
      <c r="B63" s="225" t="s">
        <v>442</v>
      </c>
      <c r="C63" s="235" t="s">
        <v>441</v>
      </c>
      <c r="D63" s="88">
        <v>1.23</v>
      </c>
      <c r="E63" s="260">
        <v>5</v>
      </c>
      <c r="F63" s="58">
        <f t="shared" si="1"/>
        <v>6.15</v>
      </c>
    </row>
    <row r="64" spans="1:20" s="3" customFormat="1" ht="13.5" thickBot="1">
      <c r="A64" s="30">
        <v>18</v>
      </c>
      <c r="B64" s="105" t="s">
        <v>443</v>
      </c>
      <c r="C64" s="106" t="s">
        <v>441</v>
      </c>
      <c r="D64" s="107">
        <v>1.23</v>
      </c>
      <c r="E64" s="116">
        <v>30</v>
      </c>
      <c r="F64" s="68">
        <f t="shared" si="1"/>
        <v>36.9</v>
      </c>
    </row>
    <row r="65" spans="1:7" s="3" customFormat="1" ht="12.75" customHeight="1">
      <c r="A65" s="479" t="s">
        <v>30</v>
      </c>
      <c r="B65" s="474"/>
      <c r="C65" s="141"/>
      <c r="D65" s="88"/>
      <c r="E65" s="129"/>
      <c r="F65" s="130">
        <f>SUM(F43:F64)</f>
        <v>516.64239999999995</v>
      </c>
      <c r="G65" s="240">
        <f>F39*F65</f>
        <v>0</v>
      </c>
    </row>
    <row r="66" spans="1:7" s="3" customFormat="1" ht="13.5" customHeight="1" thickBot="1">
      <c r="A66" s="467" t="s">
        <v>31</v>
      </c>
      <c r="B66" s="468"/>
      <c r="C66" s="469"/>
      <c r="D66" s="142"/>
      <c r="E66" s="116">
        <f>E43+E44+E45+E46+E47+E49+E50+E51+E52+E54+E55+E56+E58+E59+E60+E62+E63+E64</f>
        <v>132.88</v>
      </c>
      <c r="F66" s="68"/>
      <c r="G66" s="249" t="s">
        <v>277</v>
      </c>
    </row>
    <row r="67" spans="1:7" s="3" customFormat="1" ht="13.5" thickBot="1">
      <c r="D67" s="82"/>
      <c r="E67" s="83"/>
    </row>
    <row r="68" spans="1:7" s="3" customFormat="1" ht="12" customHeight="1">
      <c r="A68" s="456" t="s">
        <v>684</v>
      </c>
      <c r="B68" s="457"/>
      <c r="C68" s="457"/>
      <c r="D68" s="457"/>
      <c r="E68" s="457"/>
      <c r="F68" s="458"/>
    </row>
    <row r="69" spans="1:7" s="3" customFormat="1" ht="12.75" customHeight="1">
      <c r="A69" s="459"/>
      <c r="B69" s="460"/>
      <c r="C69" s="460"/>
      <c r="D69" s="460"/>
      <c r="E69" s="460"/>
      <c r="F69" s="461"/>
    </row>
    <row r="70" spans="1:7" s="3" customFormat="1" ht="12.75" customHeight="1">
      <c r="A70" s="459"/>
      <c r="B70" s="460"/>
      <c r="C70" s="460"/>
      <c r="D70" s="460"/>
      <c r="E70" s="460"/>
      <c r="F70" s="461"/>
    </row>
    <row r="71" spans="1:7" s="3" customFormat="1" ht="12.75" customHeight="1">
      <c r="A71" s="459"/>
      <c r="B71" s="460"/>
      <c r="C71" s="460"/>
      <c r="D71" s="460"/>
      <c r="E71" s="460"/>
      <c r="F71" s="461"/>
    </row>
    <row r="72" spans="1:7" s="3" customFormat="1" ht="12.75" customHeight="1">
      <c r="A72" s="459"/>
      <c r="B72" s="460"/>
      <c r="C72" s="460"/>
      <c r="D72" s="460"/>
      <c r="E72" s="460"/>
      <c r="F72" s="461"/>
    </row>
    <row r="73" spans="1:7" s="3" customFormat="1" ht="12.75" customHeight="1" thickBot="1">
      <c r="A73" s="462"/>
      <c r="B73" s="463"/>
      <c r="C73" s="463"/>
      <c r="D73" s="463"/>
      <c r="E73" s="463"/>
      <c r="F73" s="464"/>
    </row>
    <row r="74" spans="1:7" ht="13.5" thickBot="1"/>
    <row r="75" spans="1:7" s="3" customFormat="1" ht="13.5" customHeight="1" thickBot="1">
      <c r="B75" s="250" t="s">
        <v>444</v>
      </c>
      <c r="D75" s="470" t="s">
        <v>1</v>
      </c>
      <c r="E75" s="471"/>
      <c r="F75" s="81">
        <v>0</v>
      </c>
    </row>
    <row r="76" spans="1:7" s="3" customFormat="1" ht="13.5" thickBot="1">
      <c r="D76" s="82"/>
      <c r="E76" s="83"/>
    </row>
    <row r="77" spans="1:7" s="3" customFormat="1" ht="11.25" customHeight="1">
      <c r="A77" s="472" t="s">
        <v>682</v>
      </c>
      <c r="B77" s="473"/>
      <c r="C77" s="473"/>
      <c r="D77" s="473"/>
      <c r="E77" s="465" t="s">
        <v>2</v>
      </c>
      <c r="F77" s="466"/>
    </row>
    <row r="78" spans="1:7" s="3" customFormat="1" ht="60" customHeight="1" thickBot="1">
      <c r="A78" s="84" t="s">
        <v>716</v>
      </c>
      <c r="B78" s="84" t="s">
        <v>3</v>
      </c>
      <c r="C78" s="84" t="s">
        <v>4</v>
      </c>
      <c r="D78" s="84" t="s">
        <v>5</v>
      </c>
      <c r="E78" s="85" t="s">
        <v>6</v>
      </c>
      <c r="F78" s="86" t="s">
        <v>7</v>
      </c>
    </row>
    <row r="79" spans="1:7" s="3" customFormat="1" ht="13.5" thickTop="1">
      <c r="A79" s="17">
        <v>1</v>
      </c>
      <c r="B79" s="54" t="s">
        <v>8</v>
      </c>
      <c r="C79" s="133" t="s">
        <v>96</v>
      </c>
      <c r="D79" s="88">
        <v>1.23</v>
      </c>
      <c r="E79" s="134">
        <v>1.32</v>
      </c>
      <c r="F79" s="58">
        <f>E79*D79</f>
        <v>1.6236000000000002</v>
      </c>
    </row>
    <row r="80" spans="1:7" s="3" customFormat="1">
      <c r="A80" s="17"/>
      <c r="B80" s="91" t="s">
        <v>10</v>
      </c>
      <c r="C80" s="133"/>
      <c r="D80" s="257">
        <v>0.35</v>
      </c>
      <c r="E80" s="134">
        <v>200</v>
      </c>
      <c r="F80" s="58">
        <f>E80*D80</f>
        <v>70</v>
      </c>
    </row>
    <row r="81" spans="1:23" s="3" customFormat="1">
      <c r="A81" s="17">
        <v>2</v>
      </c>
      <c r="B81" s="95" t="s">
        <v>11</v>
      </c>
      <c r="C81" s="133" t="s">
        <v>96</v>
      </c>
      <c r="D81" s="88">
        <v>1.23</v>
      </c>
      <c r="E81" s="134">
        <v>0.96</v>
      </c>
      <c r="F81" s="58">
        <f t="shared" ref="F81:F94" si="2">E81*D81</f>
        <v>1.1807999999999998</v>
      </c>
    </row>
    <row r="82" spans="1:23" s="3" customFormat="1">
      <c r="A82" s="17">
        <v>3</v>
      </c>
      <c r="B82" s="96" t="s">
        <v>12</v>
      </c>
      <c r="C82" s="136" t="s">
        <v>96</v>
      </c>
      <c r="D82" s="88">
        <v>1.23</v>
      </c>
      <c r="E82" s="134">
        <v>21.66</v>
      </c>
      <c r="F82" s="58">
        <f t="shared" si="2"/>
        <v>26.6418</v>
      </c>
    </row>
    <row r="83" spans="1:23" s="3" customFormat="1">
      <c r="A83" s="17">
        <v>4</v>
      </c>
      <c r="B83" s="95" t="s">
        <v>44</v>
      </c>
      <c r="C83" s="136" t="s">
        <v>42</v>
      </c>
      <c r="D83" s="88">
        <v>1.23</v>
      </c>
      <c r="E83" s="134">
        <v>2.16</v>
      </c>
      <c r="F83" s="58">
        <f t="shared" si="2"/>
        <v>2.6568000000000001</v>
      </c>
    </row>
    <row r="84" spans="1:23" s="3" customFormat="1">
      <c r="A84" s="17"/>
      <c r="B84" s="91" t="s">
        <v>168</v>
      </c>
      <c r="C84" s="133"/>
      <c r="D84" s="258">
        <v>0</v>
      </c>
      <c r="E84" s="134">
        <v>12</v>
      </c>
      <c r="F84" s="58">
        <f t="shared" si="2"/>
        <v>0</v>
      </c>
    </row>
    <row r="85" spans="1:23" s="3" customFormat="1">
      <c r="A85" s="17">
        <v>5</v>
      </c>
      <c r="B85" s="91" t="s">
        <v>17</v>
      </c>
      <c r="C85" s="133" t="s">
        <v>42</v>
      </c>
      <c r="D85" s="88">
        <v>1.23</v>
      </c>
      <c r="E85" s="134">
        <v>2.76</v>
      </c>
      <c r="F85" s="58">
        <f t="shared" si="2"/>
        <v>3.3947999999999996</v>
      </c>
    </row>
    <row r="86" spans="1:23" s="3" customFormat="1">
      <c r="A86" s="17">
        <v>6</v>
      </c>
      <c r="B86" s="91" t="s">
        <v>445</v>
      </c>
      <c r="C86" s="133" t="s">
        <v>42</v>
      </c>
      <c r="D86" s="88">
        <v>1.23</v>
      </c>
      <c r="E86" s="134">
        <v>2.16</v>
      </c>
      <c r="F86" s="58">
        <f t="shared" si="2"/>
        <v>2.6568000000000001</v>
      </c>
    </row>
    <row r="87" spans="1:23" s="3" customFormat="1">
      <c r="A87" s="17">
        <v>7</v>
      </c>
      <c r="B87" s="96" t="s">
        <v>20</v>
      </c>
      <c r="C87" s="92" t="s">
        <v>70</v>
      </c>
      <c r="D87" s="88">
        <v>1.23</v>
      </c>
      <c r="E87" s="94">
        <v>0.96</v>
      </c>
      <c r="F87" s="58">
        <f t="shared" si="2"/>
        <v>1.1807999999999998</v>
      </c>
    </row>
    <row r="88" spans="1:23" s="3" customFormat="1">
      <c r="A88" s="17">
        <v>8</v>
      </c>
      <c r="B88" s="96" t="s">
        <v>446</v>
      </c>
      <c r="C88" s="92" t="s">
        <v>70</v>
      </c>
      <c r="D88" s="88">
        <v>1.23</v>
      </c>
      <c r="E88" s="94">
        <v>0.92</v>
      </c>
      <c r="F88" s="58">
        <f t="shared" si="2"/>
        <v>1.1315999999999999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</row>
    <row r="89" spans="1:23" s="261" customFormat="1">
      <c r="A89" s="259"/>
      <c r="B89" s="162" t="s">
        <v>64</v>
      </c>
      <c r="C89" s="163"/>
      <c r="D89" s="174">
        <v>26.65</v>
      </c>
      <c r="E89" s="262">
        <v>1.2</v>
      </c>
      <c r="F89" s="58">
        <f t="shared" si="2"/>
        <v>31.979999999999997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</row>
    <row r="90" spans="1:23" s="3" customFormat="1">
      <c r="A90" s="17">
        <v>9</v>
      </c>
      <c r="B90" s="96" t="s">
        <v>8</v>
      </c>
      <c r="C90" s="136" t="s">
        <v>416</v>
      </c>
      <c r="D90" s="88">
        <v>1.23</v>
      </c>
      <c r="E90" s="134">
        <v>0.78</v>
      </c>
      <c r="F90" s="58">
        <f t="shared" si="2"/>
        <v>0.95940000000000003</v>
      </c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</row>
    <row r="91" spans="1:23" s="3" customFormat="1">
      <c r="A91" s="17"/>
      <c r="B91" s="91" t="s">
        <v>65</v>
      </c>
      <c r="C91" s="136"/>
      <c r="D91" s="97">
        <v>0.26</v>
      </c>
      <c r="E91" s="134">
        <v>120</v>
      </c>
      <c r="F91" s="58">
        <f t="shared" si="2"/>
        <v>31.200000000000003</v>
      </c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</row>
    <row r="92" spans="1:23" s="3" customFormat="1">
      <c r="A92" s="17">
        <v>10</v>
      </c>
      <c r="B92" s="95" t="s">
        <v>11</v>
      </c>
      <c r="C92" s="133" t="s">
        <v>416</v>
      </c>
      <c r="D92" s="88">
        <v>1.23</v>
      </c>
      <c r="E92" s="134">
        <v>0.96</v>
      </c>
      <c r="F92" s="58">
        <f t="shared" si="2"/>
        <v>1.1807999999999998</v>
      </c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</row>
    <row r="93" spans="1:23" s="3" customFormat="1">
      <c r="A93" s="17">
        <v>11</v>
      </c>
      <c r="B93" s="96" t="s">
        <v>447</v>
      </c>
      <c r="C93" s="133" t="s">
        <v>125</v>
      </c>
      <c r="D93" s="88">
        <v>1.23</v>
      </c>
      <c r="E93" s="134">
        <v>8.33</v>
      </c>
      <c r="F93" s="58">
        <f t="shared" si="2"/>
        <v>10.245900000000001</v>
      </c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</row>
    <row r="94" spans="1:23" s="3" customFormat="1" ht="13.5" thickBot="1">
      <c r="A94" s="30">
        <v>12</v>
      </c>
      <c r="B94" s="105" t="s">
        <v>448</v>
      </c>
      <c r="C94" s="140" t="s">
        <v>125</v>
      </c>
      <c r="D94" s="107">
        <v>1.23</v>
      </c>
      <c r="E94" s="116">
        <v>20</v>
      </c>
      <c r="F94" s="68">
        <f t="shared" si="2"/>
        <v>24.6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</row>
    <row r="95" spans="1:23" s="261" customFormat="1" ht="12.75" customHeight="1">
      <c r="A95" s="554" t="s">
        <v>30</v>
      </c>
      <c r="B95" s="555"/>
      <c r="C95" s="267"/>
      <c r="D95" s="218"/>
      <c r="E95" s="268"/>
      <c r="F95" s="269">
        <f>SUM(F79:F94)</f>
        <v>210.63310000000001</v>
      </c>
      <c r="G95" s="263">
        <f>F75*F95</f>
        <v>0</v>
      </c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</row>
    <row r="96" spans="1:23" s="261" customFormat="1" ht="13.5" customHeight="1" thickBot="1">
      <c r="A96" s="556" t="s">
        <v>31</v>
      </c>
      <c r="B96" s="557"/>
      <c r="C96" s="558"/>
      <c r="D96" s="270"/>
      <c r="E96" s="271">
        <f>E79+E81+E82+E83+E85+E86+E87+E88+E90+E92+E93+E94</f>
        <v>62.97</v>
      </c>
      <c r="F96" s="272"/>
      <c r="G96" s="264" t="s">
        <v>277</v>
      </c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</row>
    <row r="97" spans="1:23" s="3" customFormat="1" ht="13.5" thickBot="1">
      <c r="D97" s="82"/>
      <c r="E97" s="8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</row>
    <row r="98" spans="1:23" s="3" customFormat="1" ht="12" customHeight="1">
      <c r="A98" s="545" t="s">
        <v>685</v>
      </c>
      <c r="B98" s="546"/>
      <c r="C98" s="546"/>
      <c r="D98" s="546"/>
      <c r="E98" s="546"/>
      <c r="F98" s="547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</row>
    <row r="99" spans="1:23" s="3" customFormat="1" ht="15" customHeight="1">
      <c r="A99" s="548"/>
      <c r="B99" s="549"/>
      <c r="C99" s="549"/>
      <c r="D99" s="549"/>
      <c r="E99" s="549"/>
      <c r="F99" s="550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</row>
    <row r="100" spans="1:23" s="3" customFormat="1" ht="15" customHeight="1">
      <c r="A100" s="548"/>
      <c r="B100" s="549"/>
      <c r="C100" s="549"/>
      <c r="D100" s="549"/>
      <c r="E100" s="549"/>
      <c r="F100" s="550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</row>
    <row r="101" spans="1:23" s="3" customFormat="1" ht="15" customHeight="1">
      <c r="A101" s="548"/>
      <c r="B101" s="549"/>
      <c r="C101" s="549"/>
      <c r="D101" s="549"/>
      <c r="E101" s="549"/>
      <c r="F101" s="550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</row>
    <row r="102" spans="1:23" s="3" customFormat="1" ht="15" customHeight="1">
      <c r="A102" s="548"/>
      <c r="B102" s="549"/>
      <c r="C102" s="549"/>
      <c r="D102" s="549"/>
      <c r="E102" s="549"/>
      <c r="F102" s="550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</row>
    <row r="103" spans="1:23" s="3" customFormat="1" ht="15" customHeight="1" thickBot="1">
      <c r="A103" s="551"/>
      <c r="B103" s="552"/>
      <c r="C103" s="552"/>
      <c r="D103" s="552"/>
      <c r="E103" s="552"/>
      <c r="F103" s="55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</row>
    <row r="104" spans="1:23" ht="13.5" thickBot="1"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</row>
    <row r="105" spans="1:23" s="3" customFormat="1" ht="13.5" customHeight="1" thickBot="1">
      <c r="B105" s="250" t="s">
        <v>449</v>
      </c>
      <c r="D105" s="470" t="s">
        <v>1</v>
      </c>
      <c r="E105" s="471"/>
      <c r="F105" s="81">
        <v>0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</row>
    <row r="106" spans="1:23" s="3" customFormat="1" ht="13.5" thickBot="1">
      <c r="D106" s="82"/>
      <c r="E106" s="8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</row>
    <row r="107" spans="1:23" s="3" customFormat="1" ht="11.25" customHeight="1">
      <c r="A107" s="472" t="s">
        <v>682</v>
      </c>
      <c r="B107" s="473"/>
      <c r="C107" s="473"/>
      <c r="D107" s="473"/>
      <c r="E107" s="465" t="s">
        <v>2</v>
      </c>
      <c r="F107" s="466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 spans="1:23" s="3" customFormat="1" ht="51.75" thickBot="1">
      <c r="A108" s="84" t="s">
        <v>716</v>
      </c>
      <c r="B108" s="84" t="s">
        <v>3</v>
      </c>
      <c r="C108" s="84" t="s">
        <v>4</v>
      </c>
      <c r="D108" s="84" t="s">
        <v>5</v>
      </c>
      <c r="E108" s="85" t="s">
        <v>6</v>
      </c>
      <c r="F108" s="86" t="s">
        <v>7</v>
      </c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</row>
    <row r="109" spans="1:23" s="3" customFormat="1" ht="13.5" thickTop="1">
      <c r="A109" s="11">
        <v>1</v>
      </c>
      <c r="B109" s="54" t="s">
        <v>450</v>
      </c>
      <c r="C109" s="132" t="s">
        <v>34</v>
      </c>
      <c r="D109" s="88">
        <v>1.23</v>
      </c>
      <c r="E109" s="129">
        <v>1.1299999999999999</v>
      </c>
      <c r="F109" s="130">
        <f>E109*D109</f>
        <v>1.3898999999999999</v>
      </c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</row>
    <row r="110" spans="1:23" s="3" customFormat="1">
      <c r="A110" s="17">
        <v>2</v>
      </c>
      <c r="B110" s="96" t="s">
        <v>451</v>
      </c>
      <c r="C110" s="133" t="s">
        <v>34</v>
      </c>
      <c r="D110" s="88">
        <v>1.23</v>
      </c>
      <c r="E110" s="134">
        <v>6</v>
      </c>
      <c r="F110" s="58">
        <f>E110*D110</f>
        <v>7.38</v>
      </c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</row>
    <row r="111" spans="1:23" s="3" customFormat="1">
      <c r="A111" s="17">
        <v>3</v>
      </c>
      <c r="B111" s="135" t="s">
        <v>452</v>
      </c>
      <c r="C111" s="133" t="s">
        <v>34</v>
      </c>
      <c r="D111" s="88">
        <v>1.23</v>
      </c>
      <c r="E111" s="134">
        <v>3.52</v>
      </c>
      <c r="F111" s="58">
        <f t="shared" ref="F111:F135" si="3">E111*D111</f>
        <v>4.3296000000000001</v>
      </c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</row>
    <row r="112" spans="1:23" s="3" customFormat="1">
      <c r="A112" s="17">
        <v>4</v>
      </c>
      <c r="B112" s="91" t="s">
        <v>453</v>
      </c>
      <c r="C112" s="133" t="s">
        <v>42</v>
      </c>
      <c r="D112" s="88">
        <v>1.23</v>
      </c>
      <c r="E112" s="134">
        <v>0.78</v>
      </c>
      <c r="F112" s="58">
        <f t="shared" si="3"/>
        <v>0.95940000000000003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</row>
    <row r="113" spans="1:23" s="3" customFormat="1">
      <c r="A113" s="17">
        <v>5</v>
      </c>
      <c r="B113" s="54" t="s">
        <v>8</v>
      </c>
      <c r="C113" s="133" t="s">
        <v>43</v>
      </c>
      <c r="D113" s="88">
        <v>1.23</v>
      </c>
      <c r="E113" s="134">
        <v>1.32</v>
      </c>
      <c r="F113" s="58">
        <f t="shared" si="3"/>
        <v>1.6236000000000002</v>
      </c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</row>
    <row r="114" spans="1:23" s="3" customFormat="1">
      <c r="A114" s="17"/>
      <c r="B114" s="91" t="s">
        <v>10</v>
      </c>
      <c r="C114" s="133"/>
      <c r="D114" s="257">
        <v>0.35</v>
      </c>
      <c r="E114" s="134">
        <v>300</v>
      </c>
      <c r="F114" s="58">
        <f t="shared" si="3"/>
        <v>105</v>
      </c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</row>
    <row r="115" spans="1:23" s="3" customFormat="1">
      <c r="A115" s="17">
        <v>6</v>
      </c>
      <c r="B115" s="95" t="s">
        <v>454</v>
      </c>
      <c r="C115" s="133" t="s">
        <v>43</v>
      </c>
      <c r="D115" s="88">
        <v>1.23</v>
      </c>
      <c r="E115" s="134">
        <v>0.19</v>
      </c>
      <c r="F115" s="58">
        <f t="shared" si="3"/>
        <v>0.23369999999999999</v>
      </c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</row>
    <row r="116" spans="1:23" s="3" customFormat="1">
      <c r="A116" s="17"/>
      <c r="B116" s="95" t="s">
        <v>455</v>
      </c>
      <c r="C116" s="133" t="s">
        <v>43</v>
      </c>
      <c r="D116" s="88">
        <v>1.23</v>
      </c>
      <c r="E116" s="134">
        <v>2.33</v>
      </c>
      <c r="F116" s="58">
        <f t="shared" si="3"/>
        <v>2.8658999999999999</v>
      </c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</row>
    <row r="117" spans="1:23" s="3" customFormat="1">
      <c r="A117" s="17">
        <v>7</v>
      </c>
      <c r="B117" s="96" t="s">
        <v>456</v>
      </c>
      <c r="C117" s="136" t="s">
        <v>43</v>
      </c>
      <c r="D117" s="88">
        <v>1.23</v>
      </c>
      <c r="E117" s="134">
        <v>4.33</v>
      </c>
      <c r="F117" s="58">
        <f t="shared" si="3"/>
        <v>5.3258999999999999</v>
      </c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</row>
    <row r="118" spans="1:23" s="3" customFormat="1">
      <c r="A118" s="184"/>
      <c r="B118" s="96" t="s">
        <v>457</v>
      </c>
      <c r="C118" s="185"/>
      <c r="D118" s="273">
        <v>0</v>
      </c>
      <c r="E118" s="274">
        <v>0.5</v>
      </c>
      <c r="F118" s="58">
        <f t="shared" si="3"/>
        <v>0</v>
      </c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</row>
    <row r="119" spans="1:23" s="261" customFormat="1">
      <c r="A119" s="266">
        <v>8</v>
      </c>
      <c r="B119" s="162" t="s">
        <v>128</v>
      </c>
      <c r="C119" s="275" t="s">
        <v>129</v>
      </c>
      <c r="D119" s="188"/>
      <c r="E119" s="274">
        <v>0</v>
      </c>
      <c r="F119" s="58">
        <f t="shared" si="3"/>
        <v>0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</row>
    <row r="120" spans="1:23" s="261" customFormat="1">
      <c r="A120" s="266"/>
      <c r="B120" s="162" t="s">
        <v>197</v>
      </c>
      <c r="C120" s="275"/>
      <c r="D120" s="188">
        <v>8.8800000000000008</v>
      </c>
      <c r="E120" s="274">
        <v>2.5000000000000001E-3</v>
      </c>
      <c r="F120" s="58">
        <f t="shared" si="3"/>
        <v>2.2200000000000001E-2</v>
      </c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</row>
    <row r="121" spans="1:23" s="261" customFormat="1">
      <c r="A121" s="266"/>
      <c r="B121" s="162" t="s">
        <v>24</v>
      </c>
      <c r="C121" s="275"/>
      <c r="D121" s="188">
        <v>26.24</v>
      </c>
      <c r="E121" s="274">
        <v>1E-3</v>
      </c>
      <c r="F121" s="58">
        <f t="shared" si="3"/>
        <v>2.6239999999999999E-2</v>
      </c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</row>
    <row r="122" spans="1:23" s="3" customFormat="1">
      <c r="A122" s="184">
        <v>9</v>
      </c>
      <c r="B122" s="95" t="s">
        <v>458</v>
      </c>
      <c r="C122" s="185" t="s">
        <v>45</v>
      </c>
      <c r="D122" s="88">
        <v>1.23</v>
      </c>
      <c r="E122" s="186">
        <v>0.43</v>
      </c>
      <c r="F122" s="58">
        <f t="shared" si="3"/>
        <v>0.52890000000000004</v>
      </c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</row>
    <row r="123" spans="1:23" s="3" customFormat="1">
      <c r="A123" s="184">
        <v>10</v>
      </c>
      <c r="B123" s="191" t="s">
        <v>459</v>
      </c>
      <c r="C123" s="185" t="s">
        <v>21</v>
      </c>
      <c r="D123" s="88">
        <v>1.23</v>
      </c>
      <c r="E123" s="186">
        <v>5.0999999999999996</v>
      </c>
      <c r="F123" s="58">
        <f t="shared" si="3"/>
        <v>6.2729999999999997</v>
      </c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</row>
    <row r="124" spans="1:23" s="3" customFormat="1">
      <c r="A124" s="17">
        <v>11</v>
      </c>
      <c r="B124" s="95" t="s">
        <v>460</v>
      </c>
      <c r="C124" s="136" t="s">
        <v>9</v>
      </c>
      <c r="D124" s="88">
        <v>1.23</v>
      </c>
      <c r="E124" s="134">
        <v>0.86</v>
      </c>
      <c r="F124" s="58">
        <f t="shared" si="3"/>
        <v>1.0578000000000001</v>
      </c>
    </row>
    <row r="125" spans="1:23" s="3" customFormat="1">
      <c r="A125" s="184">
        <v>12</v>
      </c>
      <c r="B125" s="95" t="s">
        <v>461</v>
      </c>
      <c r="C125" s="185" t="s">
        <v>21</v>
      </c>
      <c r="D125" s="88">
        <v>1.23</v>
      </c>
      <c r="E125" s="186">
        <v>8</v>
      </c>
      <c r="F125" s="58">
        <f t="shared" si="3"/>
        <v>9.84</v>
      </c>
    </row>
    <row r="126" spans="1:23" s="3" customFormat="1">
      <c r="A126" s="17">
        <v>13</v>
      </c>
      <c r="B126" s="96" t="s">
        <v>8</v>
      </c>
      <c r="C126" s="136" t="s">
        <v>21</v>
      </c>
      <c r="D126" s="88">
        <v>1.23</v>
      </c>
      <c r="E126" s="134">
        <v>0.9</v>
      </c>
      <c r="F126" s="58">
        <f t="shared" si="3"/>
        <v>1.107</v>
      </c>
    </row>
    <row r="127" spans="1:23" s="3" customFormat="1">
      <c r="A127" s="17"/>
      <c r="B127" s="91" t="s">
        <v>51</v>
      </c>
      <c r="C127" s="136"/>
      <c r="D127" s="174">
        <v>0.32</v>
      </c>
      <c r="E127" s="134">
        <v>200</v>
      </c>
      <c r="F127" s="58">
        <f t="shared" si="3"/>
        <v>64</v>
      </c>
    </row>
    <row r="128" spans="1:23" s="3" customFormat="1">
      <c r="A128" s="17">
        <v>14</v>
      </c>
      <c r="B128" s="95" t="s">
        <v>421</v>
      </c>
      <c r="C128" s="133" t="s">
        <v>21</v>
      </c>
      <c r="D128" s="88">
        <v>1.23</v>
      </c>
      <c r="E128" s="134">
        <v>2.92</v>
      </c>
      <c r="F128" s="58">
        <f t="shared" si="3"/>
        <v>3.5915999999999997</v>
      </c>
    </row>
    <row r="129" spans="1:37" s="3" customFormat="1">
      <c r="A129" s="17">
        <v>15</v>
      </c>
      <c r="B129" s="96" t="s">
        <v>20</v>
      </c>
      <c r="C129" s="92" t="s">
        <v>70</v>
      </c>
      <c r="D129" s="88">
        <v>1.23</v>
      </c>
      <c r="E129" s="94">
        <v>0.96</v>
      </c>
      <c r="F129" s="58">
        <f t="shared" si="3"/>
        <v>1.1807999999999998</v>
      </c>
    </row>
    <row r="130" spans="1:37" s="3" customFormat="1">
      <c r="A130" s="17">
        <v>16</v>
      </c>
      <c r="B130" s="96" t="s">
        <v>462</v>
      </c>
      <c r="C130" s="92" t="s">
        <v>70</v>
      </c>
      <c r="D130" s="88">
        <v>1.23</v>
      </c>
      <c r="E130" s="94">
        <v>0.92</v>
      </c>
      <c r="F130" s="58">
        <f t="shared" si="3"/>
        <v>1.1315999999999999</v>
      </c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</row>
    <row r="131" spans="1:37" s="261" customFormat="1">
      <c r="A131" s="259"/>
      <c r="B131" s="162" t="s">
        <v>64</v>
      </c>
      <c r="C131" s="163"/>
      <c r="D131" s="174">
        <v>26.65</v>
      </c>
      <c r="E131" s="262">
        <v>1.2</v>
      </c>
      <c r="F131" s="58">
        <f t="shared" si="3"/>
        <v>31.979999999999997</v>
      </c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</row>
    <row r="132" spans="1:37" s="3" customFormat="1">
      <c r="A132" s="17">
        <v>17</v>
      </c>
      <c r="B132" s="96" t="s">
        <v>463</v>
      </c>
      <c r="C132" s="133" t="s">
        <v>54</v>
      </c>
      <c r="D132" s="88">
        <v>1.23</v>
      </c>
      <c r="E132" s="134">
        <v>2.76</v>
      </c>
      <c r="F132" s="58">
        <f t="shared" si="3"/>
        <v>3.3947999999999996</v>
      </c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</row>
    <row r="133" spans="1:37" s="261" customFormat="1" ht="11.25" customHeight="1">
      <c r="A133" s="259">
        <v>18</v>
      </c>
      <c r="B133" s="162" t="s">
        <v>440</v>
      </c>
      <c r="C133" s="235" t="s">
        <v>441</v>
      </c>
      <c r="D133" s="88">
        <v>1.23</v>
      </c>
      <c r="E133" s="260">
        <v>5</v>
      </c>
      <c r="F133" s="58">
        <f t="shared" si="3"/>
        <v>6.15</v>
      </c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</row>
    <row r="134" spans="1:37" s="261" customFormat="1" ht="11.25" customHeight="1">
      <c r="A134" s="266">
        <v>19</v>
      </c>
      <c r="B134" s="225" t="s">
        <v>442</v>
      </c>
      <c r="C134" s="235" t="s">
        <v>441</v>
      </c>
      <c r="D134" s="88">
        <v>1.23</v>
      </c>
      <c r="E134" s="260">
        <v>5</v>
      </c>
      <c r="F134" s="58">
        <f t="shared" si="3"/>
        <v>6.15</v>
      </c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</row>
    <row r="135" spans="1:37" s="3" customFormat="1" ht="13.5" thickBot="1">
      <c r="A135" s="30">
        <v>20</v>
      </c>
      <c r="B135" s="105" t="s">
        <v>443</v>
      </c>
      <c r="C135" s="106" t="s">
        <v>441</v>
      </c>
      <c r="D135" s="107">
        <v>1.23</v>
      </c>
      <c r="E135" s="116">
        <v>20</v>
      </c>
      <c r="F135" s="68">
        <f t="shared" si="3"/>
        <v>24.6</v>
      </c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</row>
    <row r="136" spans="1:37" s="3" customFormat="1" ht="12.75" customHeight="1">
      <c r="A136" s="479" t="s">
        <v>30</v>
      </c>
      <c r="B136" s="474"/>
      <c r="C136" s="141"/>
      <c r="D136" s="88"/>
      <c r="E136" s="129"/>
      <c r="F136" s="130">
        <f>SUM(F109:F135)</f>
        <v>290.14193999999998</v>
      </c>
      <c r="G136" s="240">
        <f>F105*F136</f>
        <v>0</v>
      </c>
    </row>
    <row r="137" spans="1:37" s="3" customFormat="1" ht="13.5" customHeight="1" thickBot="1">
      <c r="A137" s="467" t="s">
        <v>31</v>
      </c>
      <c r="B137" s="468"/>
      <c r="C137" s="469"/>
      <c r="D137" s="142"/>
      <c r="E137" s="116">
        <f>E109+E110+E111+E112+E113+E115+E116+E117+E122+E123+E124+E125+E126+E128+E129+E130+E132+E133+E134+E135</f>
        <v>72.45</v>
      </c>
      <c r="F137" s="68"/>
      <c r="G137" s="249" t="s">
        <v>277</v>
      </c>
    </row>
    <row r="138" spans="1:37" s="3" customFormat="1" ht="13.5" thickBot="1">
      <c r="D138" s="82"/>
      <c r="E138" s="83"/>
    </row>
    <row r="139" spans="1:37" s="3" customFormat="1" ht="12" customHeight="1">
      <c r="A139" s="545" t="s">
        <v>686</v>
      </c>
      <c r="B139" s="546"/>
      <c r="C139" s="546"/>
      <c r="D139" s="546"/>
      <c r="E139" s="546"/>
      <c r="F139" s="547"/>
    </row>
    <row r="140" spans="1:37" s="3" customFormat="1" ht="15" customHeight="1">
      <c r="A140" s="548"/>
      <c r="B140" s="549"/>
      <c r="C140" s="549"/>
      <c r="D140" s="549"/>
      <c r="E140" s="549"/>
      <c r="F140" s="550"/>
    </row>
    <row r="141" spans="1:37" s="3" customFormat="1" ht="15" customHeight="1">
      <c r="A141" s="548"/>
      <c r="B141" s="549"/>
      <c r="C141" s="549"/>
      <c r="D141" s="549"/>
      <c r="E141" s="549"/>
      <c r="F141" s="550"/>
    </row>
    <row r="142" spans="1:37" s="3" customFormat="1" ht="15" customHeight="1">
      <c r="A142" s="548"/>
      <c r="B142" s="549"/>
      <c r="C142" s="549"/>
      <c r="D142" s="549"/>
      <c r="E142" s="549"/>
      <c r="F142" s="550"/>
    </row>
    <row r="143" spans="1:37" s="3" customFormat="1" ht="15" customHeight="1">
      <c r="A143" s="548"/>
      <c r="B143" s="549"/>
      <c r="C143" s="549"/>
      <c r="D143" s="549"/>
      <c r="E143" s="549"/>
      <c r="F143" s="550"/>
    </row>
    <row r="144" spans="1:37" s="3" customFormat="1" ht="15" customHeight="1" thickBot="1">
      <c r="A144" s="551"/>
      <c r="B144" s="552"/>
      <c r="C144" s="552"/>
      <c r="D144" s="552"/>
      <c r="E144" s="552"/>
      <c r="F144" s="553"/>
    </row>
  </sheetData>
  <mergeCells count="24">
    <mergeCell ref="A30:F37"/>
    <mergeCell ref="A139:F144"/>
    <mergeCell ref="A136:B136"/>
    <mergeCell ref="A137:C137"/>
    <mergeCell ref="A95:B95"/>
    <mergeCell ref="A96:C96"/>
    <mergeCell ref="A107:D107"/>
    <mergeCell ref="E107:F107"/>
    <mergeCell ref="D1:E1"/>
    <mergeCell ref="D39:E39"/>
    <mergeCell ref="D75:E75"/>
    <mergeCell ref="D105:E105"/>
    <mergeCell ref="A98:F103"/>
    <mergeCell ref="A66:C66"/>
    <mergeCell ref="A77:D77"/>
    <mergeCell ref="E77:F77"/>
    <mergeCell ref="A41:D41"/>
    <mergeCell ref="E41:F41"/>
    <mergeCell ref="A65:B65"/>
    <mergeCell ref="A68:F73"/>
    <mergeCell ref="A3:D3"/>
    <mergeCell ref="E3:F3"/>
    <mergeCell ref="A27:B27"/>
    <mergeCell ref="A28:C28"/>
  </mergeCells>
  <pageMargins left="0.7" right="0.7" top="0.75" bottom="0.75" header="0.3" footer="0.3"/>
  <pageSetup paperSize="9" scale="73" orientation="portrait" r:id="rId1"/>
  <rowBreaks count="1" manualBreakCount="1">
    <brk id="73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N117"/>
  <sheetViews>
    <sheetView workbookViewId="0">
      <selection activeCell="B2" sqref="B2"/>
    </sheetView>
  </sheetViews>
  <sheetFormatPr defaultRowHeight="14.25"/>
  <cols>
    <col min="1" max="1" width="15.28515625" style="376" customWidth="1"/>
    <col min="2" max="2" width="14" style="376" bestFit="1" customWidth="1"/>
    <col min="3" max="3" width="11.7109375" style="376" bestFit="1" customWidth="1"/>
    <col min="4" max="4" width="11.42578125" style="376" customWidth="1"/>
    <col min="5" max="5" width="10.7109375" style="376" customWidth="1"/>
    <col min="6" max="6" width="11.85546875" style="375" customWidth="1"/>
    <col min="7" max="7" width="15.7109375" style="376" customWidth="1"/>
    <col min="8" max="8" width="14" style="376" customWidth="1"/>
    <col min="9" max="9" width="11.7109375" style="376" bestFit="1" customWidth="1"/>
    <col min="10" max="10" width="7.7109375" style="376" customWidth="1"/>
    <col min="11" max="11" width="10.7109375" style="376" customWidth="1"/>
    <col min="12" max="12" width="0.140625" style="376" customWidth="1"/>
    <col min="13" max="13" width="8.5703125" style="376" customWidth="1"/>
    <col min="14" max="14" width="2.5703125" style="376" hidden="1" customWidth="1"/>
    <col min="15" max="15" width="9.140625" style="376" customWidth="1"/>
    <col min="16" max="255" width="9.140625" style="376"/>
    <col min="256" max="256" width="13.85546875" style="376" customWidth="1"/>
    <col min="257" max="257" width="14" style="376" bestFit="1" customWidth="1"/>
    <col min="258" max="258" width="11.7109375" style="376" bestFit="1" customWidth="1"/>
    <col min="259" max="259" width="7.7109375" style="376" customWidth="1"/>
    <col min="260" max="260" width="10.7109375" style="376" customWidth="1"/>
    <col min="261" max="261" width="11.85546875" style="376" customWidth="1"/>
    <col min="262" max="262" width="13.5703125" style="376" customWidth="1"/>
    <col min="263" max="263" width="14" style="376" customWidth="1"/>
    <col min="264" max="264" width="11.7109375" style="376" bestFit="1" customWidth="1"/>
    <col min="265" max="265" width="7.7109375" style="376" customWidth="1"/>
    <col min="266" max="266" width="10.7109375" style="376" customWidth="1"/>
    <col min="267" max="511" width="9.140625" style="376"/>
    <col min="512" max="512" width="13.85546875" style="376" customWidth="1"/>
    <col min="513" max="513" width="14" style="376" bestFit="1" customWidth="1"/>
    <col min="514" max="514" width="11.7109375" style="376" bestFit="1" customWidth="1"/>
    <col min="515" max="515" width="7.7109375" style="376" customWidth="1"/>
    <col min="516" max="516" width="10.7109375" style="376" customWidth="1"/>
    <col min="517" max="517" width="11.85546875" style="376" customWidth="1"/>
    <col min="518" max="518" width="13.5703125" style="376" customWidth="1"/>
    <col min="519" max="519" width="14" style="376" customWidth="1"/>
    <col min="520" max="520" width="11.7109375" style="376" bestFit="1" customWidth="1"/>
    <col min="521" max="521" width="7.7109375" style="376" customWidth="1"/>
    <col min="522" max="522" width="10.7109375" style="376" customWidth="1"/>
    <col min="523" max="767" width="9.140625" style="376"/>
    <col min="768" max="768" width="13.85546875" style="376" customWidth="1"/>
    <col min="769" max="769" width="14" style="376" bestFit="1" customWidth="1"/>
    <col min="770" max="770" width="11.7109375" style="376" bestFit="1" customWidth="1"/>
    <col min="771" max="771" width="7.7109375" style="376" customWidth="1"/>
    <col min="772" max="772" width="10.7109375" style="376" customWidth="1"/>
    <col min="773" max="773" width="11.85546875" style="376" customWidth="1"/>
    <col min="774" max="774" width="13.5703125" style="376" customWidth="1"/>
    <col min="775" max="775" width="14" style="376" customWidth="1"/>
    <col min="776" max="776" width="11.7109375" style="376" bestFit="1" customWidth="1"/>
    <col min="777" max="777" width="7.7109375" style="376" customWidth="1"/>
    <col min="778" max="778" width="10.7109375" style="376" customWidth="1"/>
    <col min="779" max="1023" width="9.140625" style="376"/>
    <col min="1024" max="1024" width="13.85546875" style="376" customWidth="1"/>
    <col min="1025" max="1025" width="14" style="376" bestFit="1" customWidth="1"/>
    <col min="1026" max="1026" width="11.7109375" style="376" bestFit="1" customWidth="1"/>
    <col min="1027" max="1027" width="7.7109375" style="376" customWidth="1"/>
    <col min="1028" max="1028" width="10.7109375" style="376" customWidth="1"/>
    <col min="1029" max="1029" width="11.85546875" style="376" customWidth="1"/>
    <col min="1030" max="1030" width="13.5703125" style="376" customWidth="1"/>
    <col min="1031" max="1031" width="14" style="376" customWidth="1"/>
    <col min="1032" max="1032" width="11.7109375" style="376" bestFit="1" customWidth="1"/>
    <col min="1033" max="1033" width="7.7109375" style="376" customWidth="1"/>
    <col min="1034" max="1034" width="10.7109375" style="376" customWidth="1"/>
    <col min="1035" max="1279" width="9.140625" style="376"/>
    <col min="1280" max="1280" width="13.85546875" style="376" customWidth="1"/>
    <col min="1281" max="1281" width="14" style="376" bestFit="1" customWidth="1"/>
    <col min="1282" max="1282" width="11.7109375" style="376" bestFit="1" customWidth="1"/>
    <col min="1283" max="1283" width="7.7109375" style="376" customWidth="1"/>
    <col min="1284" max="1284" width="10.7109375" style="376" customWidth="1"/>
    <col min="1285" max="1285" width="11.85546875" style="376" customWidth="1"/>
    <col min="1286" max="1286" width="13.5703125" style="376" customWidth="1"/>
    <col min="1287" max="1287" width="14" style="376" customWidth="1"/>
    <col min="1288" max="1288" width="11.7109375" style="376" bestFit="1" customWidth="1"/>
    <col min="1289" max="1289" width="7.7109375" style="376" customWidth="1"/>
    <col min="1290" max="1290" width="10.7109375" style="376" customWidth="1"/>
    <col min="1291" max="1535" width="9.140625" style="376"/>
    <col min="1536" max="1536" width="13.85546875" style="376" customWidth="1"/>
    <col min="1537" max="1537" width="14" style="376" bestFit="1" customWidth="1"/>
    <col min="1538" max="1538" width="11.7109375" style="376" bestFit="1" customWidth="1"/>
    <col min="1539" max="1539" width="7.7109375" style="376" customWidth="1"/>
    <col min="1540" max="1540" width="10.7109375" style="376" customWidth="1"/>
    <col min="1541" max="1541" width="11.85546875" style="376" customWidth="1"/>
    <col min="1542" max="1542" width="13.5703125" style="376" customWidth="1"/>
    <col min="1543" max="1543" width="14" style="376" customWidth="1"/>
    <col min="1544" max="1544" width="11.7109375" style="376" bestFit="1" customWidth="1"/>
    <col min="1545" max="1545" width="7.7109375" style="376" customWidth="1"/>
    <col min="1546" max="1546" width="10.7109375" style="376" customWidth="1"/>
    <col min="1547" max="1791" width="9.140625" style="376"/>
    <col min="1792" max="1792" width="13.85546875" style="376" customWidth="1"/>
    <col min="1793" max="1793" width="14" style="376" bestFit="1" customWidth="1"/>
    <col min="1794" max="1794" width="11.7109375" style="376" bestFit="1" customWidth="1"/>
    <col min="1795" max="1795" width="7.7109375" style="376" customWidth="1"/>
    <col min="1796" max="1796" width="10.7109375" style="376" customWidth="1"/>
    <col min="1797" max="1797" width="11.85546875" style="376" customWidth="1"/>
    <col min="1798" max="1798" width="13.5703125" style="376" customWidth="1"/>
    <col min="1799" max="1799" width="14" style="376" customWidth="1"/>
    <col min="1800" max="1800" width="11.7109375" style="376" bestFit="1" customWidth="1"/>
    <col min="1801" max="1801" width="7.7109375" style="376" customWidth="1"/>
    <col min="1802" max="1802" width="10.7109375" style="376" customWidth="1"/>
    <col min="1803" max="2047" width="9.140625" style="376"/>
    <col min="2048" max="2048" width="13.85546875" style="376" customWidth="1"/>
    <col min="2049" max="2049" width="14" style="376" bestFit="1" customWidth="1"/>
    <col min="2050" max="2050" width="11.7109375" style="376" bestFit="1" customWidth="1"/>
    <col min="2051" max="2051" width="7.7109375" style="376" customWidth="1"/>
    <col min="2052" max="2052" width="10.7109375" style="376" customWidth="1"/>
    <col min="2053" max="2053" width="11.85546875" style="376" customWidth="1"/>
    <col min="2054" max="2054" width="13.5703125" style="376" customWidth="1"/>
    <col min="2055" max="2055" width="14" style="376" customWidth="1"/>
    <col min="2056" max="2056" width="11.7109375" style="376" bestFit="1" customWidth="1"/>
    <col min="2057" max="2057" width="7.7109375" style="376" customWidth="1"/>
    <col min="2058" max="2058" width="10.7109375" style="376" customWidth="1"/>
    <col min="2059" max="2303" width="9.140625" style="376"/>
    <col min="2304" max="2304" width="13.85546875" style="376" customWidth="1"/>
    <col min="2305" max="2305" width="14" style="376" bestFit="1" customWidth="1"/>
    <col min="2306" max="2306" width="11.7109375" style="376" bestFit="1" customWidth="1"/>
    <col min="2307" max="2307" width="7.7109375" style="376" customWidth="1"/>
    <col min="2308" max="2308" width="10.7109375" style="376" customWidth="1"/>
    <col min="2309" max="2309" width="11.85546875" style="376" customWidth="1"/>
    <col min="2310" max="2310" width="13.5703125" style="376" customWidth="1"/>
    <col min="2311" max="2311" width="14" style="376" customWidth="1"/>
    <col min="2312" max="2312" width="11.7109375" style="376" bestFit="1" customWidth="1"/>
    <col min="2313" max="2313" width="7.7109375" style="376" customWidth="1"/>
    <col min="2314" max="2314" width="10.7109375" style="376" customWidth="1"/>
    <col min="2315" max="2559" width="9.140625" style="376"/>
    <col min="2560" max="2560" width="13.85546875" style="376" customWidth="1"/>
    <col min="2561" max="2561" width="14" style="376" bestFit="1" customWidth="1"/>
    <col min="2562" max="2562" width="11.7109375" style="376" bestFit="1" customWidth="1"/>
    <col min="2563" max="2563" width="7.7109375" style="376" customWidth="1"/>
    <col min="2564" max="2564" width="10.7109375" style="376" customWidth="1"/>
    <col min="2565" max="2565" width="11.85546875" style="376" customWidth="1"/>
    <col min="2566" max="2566" width="13.5703125" style="376" customWidth="1"/>
    <col min="2567" max="2567" width="14" style="376" customWidth="1"/>
    <col min="2568" max="2568" width="11.7109375" style="376" bestFit="1" customWidth="1"/>
    <col min="2569" max="2569" width="7.7109375" style="376" customWidth="1"/>
    <col min="2570" max="2570" width="10.7109375" style="376" customWidth="1"/>
    <col min="2571" max="2815" width="9.140625" style="376"/>
    <col min="2816" max="2816" width="13.85546875" style="376" customWidth="1"/>
    <col min="2817" max="2817" width="14" style="376" bestFit="1" customWidth="1"/>
    <col min="2818" max="2818" width="11.7109375" style="376" bestFit="1" customWidth="1"/>
    <col min="2819" max="2819" width="7.7109375" style="376" customWidth="1"/>
    <col min="2820" max="2820" width="10.7109375" style="376" customWidth="1"/>
    <col min="2821" max="2821" width="11.85546875" style="376" customWidth="1"/>
    <col min="2822" max="2822" width="13.5703125" style="376" customWidth="1"/>
    <col min="2823" max="2823" width="14" style="376" customWidth="1"/>
    <col min="2824" max="2824" width="11.7109375" style="376" bestFit="1" customWidth="1"/>
    <col min="2825" max="2825" width="7.7109375" style="376" customWidth="1"/>
    <col min="2826" max="2826" width="10.7109375" style="376" customWidth="1"/>
    <col min="2827" max="3071" width="9.140625" style="376"/>
    <col min="3072" max="3072" width="13.85546875" style="376" customWidth="1"/>
    <col min="3073" max="3073" width="14" style="376" bestFit="1" customWidth="1"/>
    <col min="3074" max="3074" width="11.7109375" style="376" bestFit="1" customWidth="1"/>
    <col min="3075" max="3075" width="7.7109375" style="376" customWidth="1"/>
    <col min="3076" max="3076" width="10.7109375" style="376" customWidth="1"/>
    <col min="3077" max="3077" width="11.85546875" style="376" customWidth="1"/>
    <col min="3078" max="3078" width="13.5703125" style="376" customWidth="1"/>
    <col min="3079" max="3079" width="14" style="376" customWidth="1"/>
    <col min="3080" max="3080" width="11.7109375" style="376" bestFit="1" customWidth="1"/>
    <col min="3081" max="3081" width="7.7109375" style="376" customWidth="1"/>
    <col min="3082" max="3082" width="10.7109375" style="376" customWidth="1"/>
    <col min="3083" max="3327" width="9.140625" style="376"/>
    <col min="3328" max="3328" width="13.85546875" style="376" customWidth="1"/>
    <col min="3329" max="3329" width="14" style="376" bestFit="1" customWidth="1"/>
    <col min="3330" max="3330" width="11.7109375" style="376" bestFit="1" customWidth="1"/>
    <col min="3331" max="3331" width="7.7109375" style="376" customWidth="1"/>
    <col min="3332" max="3332" width="10.7109375" style="376" customWidth="1"/>
    <col min="3333" max="3333" width="11.85546875" style="376" customWidth="1"/>
    <col min="3334" max="3334" width="13.5703125" style="376" customWidth="1"/>
    <col min="3335" max="3335" width="14" style="376" customWidth="1"/>
    <col min="3336" max="3336" width="11.7109375" style="376" bestFit="1" customWidth="1"/>
    <col min="3337" max="3337" width="7.7109375" style="376" customWidth="1"/>
    <col min="3338" max="3338" width="10.7109375" style="376" customWidth="1"/>
    <col min="3339" max="3583" width="9.140625" style="376"/>
    <col min="3584" max="3584" width="13.85546875" style="376" customWidth="1"/>
    <col min="3585" max="3585" width="14" style="376" bestFit="1" customWidth="1"/>
    <col min="3586" max="3586" width="11.7109375" style="376" bestFit="1" customWidth="1"/>
    <col min="3587" max="3587" width="7.7109375" style="376" customWidth="1"/>
    <col min="3588" max="3588" width="10.7109375" style="376" customWidth="1"/>
    <col min="3589" max="3589" width="11.85546875" style="376" customWidth="1"/>
    <col min="3590" max="3590" width="13.5703125" style="376" customWidth="1"/>
    <col min="3591" max="3591" width="14" style="376" customWidth="1"/>
    <col min="3592" max="3592" width="11.7109375" style="376" bestFit="1" customWidth="1"/>
    <col min="3593" max="3593" width="7.7109375" style="376" customWidth="1"/>
    <col min="3594" max="3594" width="10.7109375" style="376" customWidth="1"/>
    <col min="3595" max="3839" width="9.140625" style="376"/>
    <col min="3840" max="3840" width="13.85546875" style="376" customWidth="1"/>
    <col min="3841" max="3841" width="14" style="376" bestFit="1" customWidth="1"/>
    <col min="3842" max="3842" width="11.7109375" style="376" bestFit="1" customWidth="1"/>
    <col min="3843" max="3843" width="7.7109375" style="376" customWidth="1"/>
    <col min="3844" max="3844" width="10.7109375" style="376" customWidth="1"/>
    <col min="3845" max="3845" width="11.85546875" style="376" customWidth="1"/>
    <col min="3846" max="3846" width="13.5703125" style="376" customWidth="1"/>
    <col min="3847" max="3847" width="14" style="376" customWidth="1"/>
    <col min="3848" max="3848" width="11.7109375" style="376" bestFit="1" customWidth="1"/>
    <col min="3849" max="3849" width="7.7109375" style="376" customWidth="1"/>
    <col min="3850" max="3850" width="10.7109375" style="376" customWidth="1"/>
    <col min="3851" max="4095" width="9.140625" style="376"/>
    <col min="4096" max="4096" width="13.85546875" style="376" customWidth="1"/>
    <col min="4097" max="4097" width="14" style="376" bestFit="1" customWidth="1"/>
    <col min="4098" max="4098" width="11.7109375" style="376" bestFit="1" customWidth="1"/>
    <col min="4099" max="4099" width="7.7109375" style="376" customWidth="1"/>
    <col min="4100" max="4100" width="10.7109375" style="376" customWidth="1"/>
    <col min="4101" max="4101" width="11.85546875" style="376" customWidth="1"/>
    <col min="4102" max="4102" width="13.5703125" style="376" customWidth="1"/>
    <col min="4103" max="4103" width="14" style="376" customWidth="1"/>
    <col min="4104" max="4104" width="11.7109375" style="376" bestFit="1" customWidth="1"/>
    <col min="4105" max="4105" width="7.7109375" style="376" customWidth="1"/>
    <col min="4106" max="4106" width="10.7109375" style="376" customWidth="1"/>
    <col min="4107" max="4351" width="9.140625" style="376"/>
    <col min="4352" max="4352" width="13.85546875" style="376" customWidth="1"/>
    <col min="4353" max="4353" width="14" style="376" bestFit="1" customWidth="1"/>
    <col min="4354" max="4354" width="11.7109375" style="376" bestFit="1" customWidth="1"/>
    <col min="4355" max="4355" width="7.7109375" style="376" customWidth="1"/>
    <col min="4356" max="4356" width="10.7109375" style="376" customWidth="1"/>
    <col min="4357" max="4357" width="11.85546875" style="376" customWidth="1"/>
    <col min="4358" max="4358" width="13.5703125" style="376" customWidth="1"/>
    <col min="4359" max="4359" width="14" style="376" customWidth="1"/>
    <col min="4360" max="4360" width="11.7109375" style="376" bestFit="1" customWidth="1"/>
    <col min="4361" max="4361" width="7.7109375" style="376" customWidth="1"/>
    <col min="4362" max="4362" width="10.7109375" style="376" customWidth="1"/>
    <col min="4363" max="4607" width="9.140625" style="376"/>
    <col min="4608" max="4608" width="13.85546875" style="376" customWidth="1"/>
    <col min="4609" max="4609" width="14" style="376" bestFit="1" customWidth="1"/>
    <col min="4610" max="4610" width="11.7109375" style="376" bestFit="1" customWidth="1"/>
    <col min="4611" max="4611" width="7.7109375" style="376" customWidth="1"/>
    <col min="4612" max="4612" width="10.7109375" style="376" customWidth="1"/>
    <col min="4613" max="4613" width="11.85546875" style="376" customWidth="1"/>
    <col min="4614" max="4614" width="13.5703125" style="376" customWidth="1"/>
    <col min="4615" max="4615" width="14" style="376" customWidth="1"/>
    <col min="4616" max="4616" width="11.7109375" style="376" bestFit="1" customWidth="1"/>
    <col min="4617" max="4617" width="7.7109375" style="376" customWidth="1"/>
    <col min="4618" max="4618" width="10.7109375" style="376" customWidth="1"/>
    <col min="4619" max="4863" width="9.140625" style="376"/>
    <col min="4864" max="4864" width="13.85546875" style="376" customWidth="1"/>
    <col min="4865" max="4865" width="14" style="376" bestFit="1" customWidth="1"/>
    <col min="4866" max="4866" width="11.7109375" style="376" bestFit="1" customWidth="1"/>
    <col min="4867" max="4867" width="7.7109375" style="376" customWidth="1"/>
    <col min="4868" max="4868" width="10.7109375" style="376" customWidth="1"/>
    <col min="4869" max="4869" width="11.85546875" style="376" customWidth="1"/>
    <col min="4870" max="4870" width="13.5703125" style="376" customWidth="1"/>
    <col min="4871" max="4871" width="14" style="376" customWidth="1"/>
    <col min="4872" max="4872" width="11.7109375" style="376" bestFit="1" customWidth="1"/>
    <col min="4873" max="4873" width="7.7109375" style="376" customWidth="1"/>
    <col min="4874" max="4874" width="10.7109375" style="376" customWidth="1"/>
    <col min="4875" max="5119" width="9.140625" style="376"/>
    <col min="5120" max="5120" width="13.85546875" style="376" customWidth="1"/>
    <col min="5121" max="5121" width="14" style="376" bestFit="1" customWidth="1"/>
    <col min="5122" max="5122" width="11.7109375" style="376" bestFit="1" customWidth="1"/>
    <col min="5123" max="5123" width="7.7109375" style="376" customWidth="1"/>
    <col min="5124" max="5124" width="10.7109375" style="376" customWidth="1"/>
    <col min="5125" max="5125" width="11.85546875" style="376" customWidth="1"/>
    <col min="5126" max="5126" width="13.5703125" style="376" customWidth="1"/>
    <col min="5127" max="5127" width="14" style="376" customWidth="1"/>
    <col min="5128" max="5128" width="11.7109375" style="376" bestFit="1" customWidth="1"/>
    <col min="5129" max="5129" width="7.7109375" style="376" customWidth="1"/>
    <col min="5130" max="5130" width="10.7109375" style="376" customWidth="1"/>
    <col min="5131" max="5375" width="9.140625" style="376"/>
    <col min="5376" max="5376" width="13.85546875" style="376" customWidth="1"/>
    <col min="5377" max="5377" width="14" style="376" bestFit="1" customWidth="1"/>
    <col min="5378" max="5378" width="11.7109375" style="376" bestFit="1" customWidth="1"/>
    <col min="5379" max="5379" width="7.7109375" style="376" customWidth="1"/>
    <col min="5380" max="5380" width="10.7109375" style="376" customWidth="1"/>
    <col min="5381" max="5381" width="11.85546875" style="376" customWidth="1"/>
    <col min="5382" max="5382" width="13.5703125" style="376" customWidth="1"/>
    <col min="5383" max="5383" width="14" style="376" customWidth="1"/>
    <col min="5384" max="5384" width="11.7109375" style="376" bestFit="1" customWidth="1"/>
    <col min="5385" max="5385" width="7.7109375" style="376" customWidth="1"/>
    <col min="5386" max="5386" width="10.7109375" style="376" customWidth="1"/>
    <col min="5387" max="5631" width="9.140625" style="376"/>
    <col min="5632" max="5632" width="13.85546875" style="376" customWidth="1"/>
    <col min="5633" max="5633" width="14" style="376" bestFit="1" customWidth="1"/>
    <col min="5634" max="5634" width="11.7109375" style="376" bestFit="1" customWidth="1"/>
    <col min="5635" max="5635" width="7.7109375" style="376" customWidth="1"/>
    <col min="5636" max="5636" width="10.7109375" style="376" customWidth="1"/>
    <col min="5637" max="5637" width="11.85546875" style="376" customWidth="1"/>
    <col min="5638" max="5638" width="13.5703125" style="376" customWidth="1"/>
    <col min="5639" max="5639" width="14" style="376" customWidth="1"/>
    <col min="5640" max="5640" width="11.7109375" style="376" bestFit="1" customWidth="1"/>
    <col min="5641" max="5641" width="7.7109375" style="376" customWidth="1"/>
    <col min="5642" max="5642" width="10.7109375" style="376" customWidth="1"/>
    <col min="5643" max="5887" width="9.140625" style="376"/>
    <col min="5888" max="5888" width="13.85546875" style="376" customWidth="1"/>
    <col min="5889" max="5889" width="14" style="376" bestFit="1" customWidth="1"/>
    <col min="5890" max="5890" width="11.7109375" style="376" bestFit="1" customWidth="1"/>
    <col min="5891" max="5891" width="7.7109375" style="376" customWidth="1"/>
    <col min="5892" max="5892" width="10.7109375" style="376" customWidth="1"/>
    <col min="5893" max="5893" width="11.85546875" style="376" customWidth="1"/>
    <col min="5894" max="5894" width="13.5703125" style="376" customWidth="1"/>
    <col min="5895" max="5895" width="14" style="376" customWidth="1"/>
    <col min="5896" max="5896" width="11.7109375" style="376" bestFit="1" customWidth="1"/>
    <col min="5897" max="5897" width="7.7109375" style="376" customWidth="1"/>
    <col min="5898" max="5898" width="10.7109375" style="376" customWidth="1"/>
    <col min="5899" max="6143" width="9.140625" style="376"/>
    <col min="6144" max="6144" width="13.85546875" style="376" customWidth="1"/>
    <col min="6145" max="6145" width="14" style="376" bestFit="1" customWidth="1"/>
    <col min="6146" max="6146" width="11.7109375" style="376" bestFit="1" customWidth="1"/>
    <col min="6147" max="6147" width="7.7109375" style="376" customWidth="1"/>
    <col min="6148" max="6148" width="10.7109375" style="376" customWidth="1"/>
    <col min="6149" max="6149" width="11.85546875" style="376" customWidth="1"/>
    <col min="6150" max="6150" width="13.5703125" style="376" customWidth="1"/>
    <col min="6151" max="6151" width="14" style="376" customWidth="1"/>
    <col min="6152" max="6152" width="11.7109375" style="376" bestFit="1" customWidth="1"/>
    <col min="6153" max="6153" width="7.7109375" style="376" customWidth="1"/>
    <col min="6154" max="6154" width="10.7109375" style="376" customWidth="1"/>
    <col min="6155" max="6399" width="9.140625" style="376"/>
    <col min="6400" max="6400" width="13.85546875" style="376" customWidth="1"/>
    <col min="6401" max="6401" width="14" style="376" bestFit="1" customWidth="1"/>
    <col min="6402" max="6402" width="11.7109375" style="376" bestFit="1" customWidth="1"/>
    <col min="6403" max="6403" width="7.7109375" style="376" customWidth="1"/>
    <col min="6404" max="6404" width="10.7109375" style="376" customWidth="1"/>
    <col min="6405" max="6405" width="11.85546875" style="376" customWidth="1"/>
    <col min="6406" max="6406" width="13.5703125" style="376" customWidth="1"/>
    <col min="6407" max="6407" width="14" style="376" customWidth="1"/>
    <col min="6408" max="6408" width="11.7109375" style="376" bestFit="1" customWidth="1"/>
    <col min="6409" max="6409" width="7.7109375" style="376" customWidth="1"/>
    <col min="6410" max="6410" width="10.7109375" style="376" customWidth="1"/>
    <col min="6411" max="6655" width="9.140625" style="376"/>
    <col min="6656" max="6656" width="13.85546875" style="376" customWidth="1"/>
    <col min="6657" max="6657" width="14" style="376" bestFit="1" customWidth="1"/>
    <col min="6658" max="6658" width="11.7109375" style="376" bestFit="1" customWidth="1"/>
    <col min="6659" max="6659" width="7.7109375" style="376" customWidth="1"/>
    <col min="6660" max="6660" width="10.7109375" style="376" customWidth="1"/>
    <col min="6661" max="6661" width="11.85546875" style="376" customWidth="1"/>
    <col min="6662" max="6662" width="13.5703125" style="376" customWidth="1"/>
    <col min="6663" max="6663" width="14" style="376" customWidth="1"/>
    <col min="6664" max="6664" width="11.7109375" style="376" bestFit="1" customWidth="1"/>
    <col min="6665" max="6665" width="7.7109375" style="376" customWidth="1"/>
    <col min="6666" max="6666" width="10.7109375" style="376" customWidth="1"/>
    <col min="6667" max="6911" width="9.140625" style="376"/>
    <col min="6912" max="6912" width="13.85546875" style="376" customWidth="1"/>
    <col min="6913" max="6913" width="14" style="376" bestFit="1" customWidth="1"/>
    <col min="6914" max="6914" width="11.7109375" style="376" bestFit="1" customWidth="1"/>
    <col min="6915" max="6915" width="7.7109375" style="376" customWidth="1"/>
    <col min="6916" max="6916" width="10.7109375" style="376" customWidth="1"/>
    <col min="6917" max="6917" width="11.85546875" style="376" customWidth="1"/>
    <col min="6918" max="6918" width="13.5703125" style="376" customWidth="1"/>
    <col min="6919" max="6919" width="14" style="376" customWidth="1"/>
    <col min="6920" max="6920" width="11.7109375" style="376" bestFit="1" customWidth="1"/>
    <col min="6921" max="6921" width="7.7109375" style="376" customWidth="1"/>
    <col min="6922" max="6922" width="10.7109375" style="376" customWidth="1"/>
    <col min="6923" max="7167" width="9.140625" style="376"/>
    <col min="7168" max="7168" width="13.85546875" style="376" customWidth="1"/>
    <col min="7169" max="7169" width="14" style="376" bestFit="1" customWidth="1"/>
    <col min="7170" max="7170" width="11.7109375" style="376" bestFit="1" customWidth="1"/>
    <col min="7171" max="7171" width="7.7109375" style="376" customWidth="1"/>
    <col min="7172" max="7172" width="10.7109375" style="376" customWidth="1"/>
    <col min="7173" max="7173" width="11.85546875" style="376" customWidth="1"/>
    <col min="7174" max="7174" width="13.5703125" style="376" customWidth="1"/>
    <col min="7175" max="7175" width="14" style="376" customWidth="1"/>
    <col min="7176" max="7176" width="11.7109375" style="376" bestFit="1" customWidth="1"/>
    <col min="7177" max="7177" width="7.7109375" style="376" customWidth="1"/>
    <col min="7178" max="7178" width="10.7109375" style="376" customWidth="1"/>
    <col min="7179" max="7423" width="9.140625" style="376"/>
    <col min="7424" max="7424" width="13.85546875" style="376" customWidth="1"/>
    <col min="7425" max="7425" width="14" style="376" bestFit="1" customWidth="1"/>
    <col min="7426" max="7426" width="11.7109375" style="376" bestFit="1" customWidth="1"/>
    <col min="7427" max="7427" width="7.7109375" style="376" customWidth="1"/>
    <col min="7428" max="7428" width="10.7109375" style="376" customWidth="1"/>
    <col min="7429" max="7429" width="11.85546875" style="376" customWidth="1"/>
    <col min="7430" max="7430" width="13.5703125" style="376" customWidth="1"/>
    <col min="7431" max="7431" width="14" style="376" customWidth="1"/>
    <col min="7432" max="7432" width="11.7109375" style="376" bestFit="1" customWidth="1"/>
    <col min="7433" max="7433" width="7.7109375" style="376" customWidth="1"/>
    <col min="7434" max="7434" width="10.7109375" style="376" customWidth="1"/>
    <col min="7435" max="7679" width="9.140625" style="376"/>
    <col min="7680" max="7680" width="13.85546875" style="376" customWidth="1"/>
    <col min="7681" max="7681" width="14" style="376" bestFit="1" customWidth="1"/>
    <col min="7682" max="7682" width="11.7109375" style="376" bestFit="1" customWidth="1"/>
    <col min="7683" max="7683" width="7.7109375" style="376" customWidth="1"/>
    <col min="7684" max="7684" width="10.7109375" style="376" customWidth="1"/>
    <col min="7685" max="7685" width="11.85546875" style="376" customWidth="1"/>
    <col min="7686" max="7686" width="13.5703125" style="376" customWidth="1"/>
    <col min="7687" max="7687" width="14" style="376" customWidth="1"/>
    <col min="7688" max="7688" width="11.7109375" style="376" bestFit="1" customWidth="1"/>
    <col min="7689" max="7689" width="7.7109375" style="376" customWidth="1"/>
    <col min="7690" max="7690" width="10.7109375" style="376" customWidth="1"/>
    <col min="7691" max="7935" width="9.140625" style="376"/>
    <col min="7936" max="7936" width="13.85546875" style="376" customWidth="1"/>
    <col min="7937" max="7937" width="14" style="376" bestFit="1" customWidth="1"/>
    <col min="7938" max="7938" width="11.7109375" style="376" bestFit="1" customWidth="1"/>
    <col min="7939" max="7939" width="7.7109375" style="376" customWidth="1"/>
    <col min="7940" max="7940" width="10.7109375" style="376" customWidth="1"/>
    <col min="7941" max="7941" width="11.85546875" style="376" customWidth="1"/>
    <col min="7942" max="7942" width="13.5703125" style="376" customWidth="1"/>
    <col min="7943" max="7943" width="14" style="376" customWidth="1"/>
    <col min="7944" max="7944" width="11.7109375" style="376" bestFit="1" customWidth="1"/>
    <col min="7945" max="7945" width="7.7109375" style="376" customWidth="1"/>
    <col min="7946" max="7946" width="10.7109375" style="376" customWidth="1"/>
    <col min="7947" max="8191" width="9.140625" style="376"/>
    <col min="8192" max="8192" width="13.85546875" style="376" customWidth="1"/>
    <col min="8193" max="8193" width="14" style="376" bestFit="1" customWidth="1"/>
    <col min="8194" max="8194" width="11.7109375" style="376" bestFit="1" customWidth="1"/>
    <col min="8195" max="8195" width="7.7109375" style="376" customWidth="1"/>
    <col min="8196" max="8196" width="10.7109375" style="376" customWidth="1"/>
    <col min="8197" max="8197" width="11.85546875" style="376" customWidth="1"/>
    <col min="8198" max="8198" width="13.5703125" style="376" customWidth="1"/>
    <col min="8199" max="8199" width="14" style="376" customWidth="1"/>
    <col min="8200" max="8200" width="11.7109375" style="376" bestFit="1" customWidth="1"/>
    <col min="8201" max="8201" width="7.7109375" style="376" customWidth="1"/>
    <col min="8202" max="8202" width="10.7109375" style="376" customWidth="1"/>
    <col min="8203" max="8447" width="9.140625" style="376"/>
    <col min="8448" max="8448" width="13.85546875" style="376" customWidth="1"/>
    <col min="8449" max="8449" width="14" style="376" bestFit="1" customWidth="1"/>
    <col min="8450" max="8450" width="11.7109375" style="376" bestFit="1" customWidth="1"/>
    <col min="8451" max="8451" width="7.7109375" style="376" customWidth="1"/>
    <col min="8452" max="8452" width="10.7109375" style="376" customWidth="1"/>
    <col min="8453" max="8453" width="11.85546875" style="376" customWidth="1"/>
    <col min="8454" max="8454" width="13.5703125" style="376" customWidth="1"/>
    <col min="8455" max="8455" width="14" style="376" customWidth="1"/>
    <col min="8456" max="8456" width="11.7109375" style="376" bestFit="1" customWidth="1"/>
    <col min="8457" max="8457" width="7.7109375" style="376" customWidth="1"/>
    <col min="8458" max="8458" width="10.7109375" style="376" customWidth="1"/>
    <col min="8459" max="8703" width="9.140625" style="376"/>
    <col min="8704" max="8704" width="13.85546875" style="376" customWidth="1"/>
    <col min="8705" max="8705" width="14" style="376" bestFit="1" customWidth="1"/>
    <col min="8706" max="8706" width="11.7109375" style="376" bestFit="1" customWidth="1"/>
    <col min="8707" max="8707" width="7.7109375" style="376" customWidth="1"/>
    <col min="8708" max="8708" width="10.7109375" style="376" customWidth="1"/>
    <col min="8709" max="8709" width="11.85546875" style="376" customWidth="1"/>
    <col min="8710" max="8710" width="13.5703125" style="376" customWidth="1"/>
    <col min="8711" max="8711" width="14" style="376" customWidth="1"/>
    <col min="8712" max="8712" width="11.7109375" style="376" bestFit="1" customWidth="1"/>
    <col min="8713" max="8713" width="7.7109375" style="376" customWidth="1"/>
    <col min="8714" max="8714" width="10.7109375" style="376" customWidth="1"/>
    <col min="8715" max="8959" width="9.140625" style="376"/>
    <col min="8960" max="8960" width="13.85546875" style="376" customWidth="1"/>
    <col min="8961" max="8961" width="14" style="376" bestFit="1" customWidth="1"/>
    <col min="8962" max="8962" width="11.7109375" style="376" bestFit="1" customWidth="1"/>
    <col min="8963" max="8963" width="7.7109375" style="376" customWidth="1"/>
    <col min="8964" max="8964" width="10.7109375" style="376" customWidth="1"/>
    <col min="8965" max="8965" width="11.85546875" style="376" customWidth="1"/>
    <col min="8966" max="8966" width="13.5703125" style="376" customWidth="1"/>
    <col min="8967" max="8967" width="14" style="376" customWidth="1"/>
    <col min="8968" max="8968" width="11.7109375" style="376" bestFit="1" customWidth="1"/>
    <col min="8969" max="8969" width="7.7109375" style="376" customWidth="1"/>
    <col min="8970" max="8970" width="10.7109375" style="376" customWidth="1"/>
    <col min="8971" max="9215" width="9.140625" style="376"/>
    <col min="9216" max="9216" width="13.85546875" style="376" customWidth="1"/>
    <col min="9217" max="9217" width="14" style="376" bestFit="1" customWidth="1"/>
    <col min="9218" max="9218" width="11.7109375" style="376" bestFit="1" customWidth="1"/>
    <col min="9219" max="9219" width="7.7109375" style="376" customWidth="1"/>
    <col min="9220" max="9220" width="10.7109375" style="376" customWidth="1"/>
    <col min="9221" max="9221" width="11.85546875" style="376" customWidth="1"/>
    <col min="9222" max="9222" width="13.5703125" style="376" customWidth="1"/>
    <col min="9223" max="9223" width="14" style="376" customWidth="1"/>
    <col min="9224" max="9224" width="11.7109375" style="376" bestFit="1" customWidth="1"/>
    <col min="9225" max="9225" width="7.7109375" style="376" customWidth="1"/>
    <col min="9226" max="9226" width="10.7109375" style="376" customWidth="1"/>
    <col min="9227" max="9471" width="9.140625" style="376"/>
    <col min="9472" max="9472" width="13.85546875" style="376" customWidth="1"/>
    <col min="9473" max="9473" width="14" style="376" bestFit="1" customWidth="1"/>
    <col min="9474" max="9474" width="11.7109375" style="376" bestFit="1" customWidth="1"/>
    <col min="9475" max="9475" width="7.7109375" style="376" customWidth="1"/>
    <col min="9476" max="9476" width="10.7109375" style="376" customWidth="1"/>
    <col min="9477" max="9477" width="11.85546875" style="376" customWidth="1"/>
    <col min="9478" max="9478" width="13.5703125" style="376" customWidth="1"/>
    <col min="9479" max="9479" width="14" style="376" customWidth="1"/>
    <col min="9480" max="9480" width="11.7109375" style="376" bestFit="1" customWidth="1"/>
    <col min="9481" max="9481" width="7.7109375" style="376" customWidth="1"/>
    <col min="9482" max="9482" width="10.7109375" style="376" customWidth="1"/>
    <col min="9483" max="9727" width="9.140625" style="376"/>
    <col min="9728" max="9728" width="13.85546875" style="376" customWidth="1"/>
    <col min="9729" max="9729" width="14" style="376" bestFit="1" customWidth="1"/>
    <col min="9730" max="9730" width="11.7109375" style="376" bestFit="1" customWidth="1"/>
    <col min="9731" max="9731" width="7.7109375" style="376" customWidth="1"/>
    <col min="9732" max="9732" width="10.7109375" style="376" customWidth="1"/>
    <col min="9733" max="9733" width="11.85546875" style="376" customWidth="1"/>
    <col min="9734" max="9734" width="13.5703125" style="376" customWidth="1"/>
    <col min="9735" max="9735" width="14" style="376" customWidth="1"/>
    <col min="9736" max="9736" width="11.7109375" style="376" bestFit="1" customWidth="1"/>
    <col min="9737" max="9737" width="7.7109375" style="376" customWidth="1"/>
    <col min="9738" max="9738" width="10.7109375" style="376" customWidth="1"/>
    <col min="9739" max="9983" width="9.140625" style="376"/>
    <col min="9984" max="9984" width="13.85546875" style="376" customWidth="1"/>
    <col min="9985" max="9985" width="14" style="376" bestFit="1" customWidth="1"/>
    <col min="9986" max="9986" width="11.7109375" style="376" bestFit="1" customWidth="1"/>
    <col min="9987" max="9987" width="7.7109375" style="376" customWidth="1"/>
    <col min="9988" max="9988" width="10.7109375" style="376" customWidth="1"/>
    <col min="9989" max="9989" width="11.85546875" style="376" customWidth="1"/>
    <col min="9990" max="9990" width="13.5703125" style="376" customWidth="1"/>
    <col min="9991" max="9991" width="14" style="376" customWidth="1"/>
    <col min="9992" max="9992" width="11.7109375" style="376" bestFit="1" customWidth="1"/>
    <col min="9993" max="9993" width="7.7109375" style="376" customWidth="1"/>
    <col min="9994" max="9994" width="10.7109375" style="376" customWidth="1"/>
    <col min="9995" max="10239" width="9.140625" style="376"/>
    <col min="10240" max="10240" width="13.85546875" style="376" customWidth="1"/>
    <col min="10241" max="10241" width="14" style="376" bestFit="1" customWidth="1"/>
    <col min="10242" max="10242" width="11.7109375" style="376" bestFit="1" customWidth="1"/>
    <col min="10243" max="10243" width="7.7109375" style="376" customWidth="1"/>
    <col min="10244" max="10244" width="10.7109375" style="376" customWidth="1"/>
    <col min="10245" max="10245" width="11.85546875" style="376" customWidth="1"/>
    <col min="10246" max="10246" width="13.5703125" style="376" customWidth="1"/>
    <col min="10247" max="10247" width="14" style="376" customWidth="1"/>
    <col min="10248" max="10248" width="11.7109375" style="376" bestFit="1" customWidth="1"/>
    <col min="10249" max="10249" width="7.7109375" style="376" customWidth="1"/>
    <col min="10250" max="10250" width="10.7109375" style="376" customWidth="1"/>
    <col min="10251" max="10495" width="9.140625" style="376"/>
    <col min="10496" max="10496" width="13.85546875" style="376" customWidth="1"/>
    <col min="10497" max="10497" width="14" style="376" bestFit="1" customWidth="1"/>
    <col min="10498" max="10498" width="11.7109375" style="376" bestFit="1" customWidth="1"/>
    <col min="10499" max="10499" width="7.7109375" style="376" customWidth="1"/>
    <col min="10500" max="10500" width="10.7109375" style="376" customWidth="1"/>
    <col min="10501" max="10501" width="11.85546875" style="376" customWidth="1"/>
    <col min="10502" max="10502" width="13.5703125" style="376" customWidth="1"/>
    <col min="10503" max="10503" width="14" style="376" customWidth="1"/>
    <col min="10504" max="10504" width="11.7109375" style="376" bestFit="1" customWidth="1"/>
    <col min="10505" max="10505" width="7.7109375" style="376" customWidth="1"/>
    <col min="10506" max="10506" width="10.7109375" style="376" customWidth="1"/>
    <col min="10507" max="10751" width="9.140625" style="376"/>
    <col min="10752" max="10752" width="13.85546875" style="376" customWidth="1"/>
    <col min="10753" max="10753" width="14" style="376" bestFit="1" customWidth="1"/>
    <col min="10754" max="10754" width="11.7109375" style="376" bestFit="1" customWidth="1"/>
    <col min="10755" max="10755" width="7.7109375" style="376" customWidth="1"/>
    <col min="10756" max="10756" width="10.7109375" style="376" customWidth="1"/>
    <col min="10757" max="10757" width="11.85546875" style="376" customWidth="1"/>
    <col min="10758" max="10758" width="13.5703125" style="376" customWidth="1"/>
    <col min="10759" max="10759" width="14" style="376" customWidth="1"/>
    <col min="10760" max="10760" width="11.7109375" style="376" bestFit="1" customWidth="1"/>
    <col min="10761" max="10761" width="7.7109375" style="376" customWidth="1"/>
    <col min="10762" max="10762" width="10.7109375" style="376" customWidth="1"/>
    <col min="10763" max="11007" width="9.140625" style="376"/>
    <col min="11008" max="11008" width="13.85546875" style="376" customWidth="1"/>
    <col min="11009" max="11009" width="14" style="376" bestFit="1" customWidth="1"/>
    <col min="11010" max="11010" width="11.7109375" style="376" bestFit="1" customWidth="1"/>
    <col min="11011" max="11011" width="7.7109375" style="376" customWidth="1"/>
    <col min="11012" max="11012" width="10.7109375" style="376" customWidth="1"/>
    <col min="11013" max="11013" width="11.85546875" style="376" customWidth="1"/>
    <col min="11014" max="11014" width="13.5703125" style="376" customWidth="1"/>
    <col min="11015" max="11015" width="14" style="376" customWidth="1"/>
    <col min="11016" max="11016" width="11.7109375" style="376" bestFit="1" customWidth="1"/>
    <col min="11017" max="11017" width="7.7109375" style="376" customWidth="1"/>
    <col min="11018" max="11018" width="10.7109375" style="376" customWidth="1"/>
    <col min="11019" max="11263" width="9.140625" style="376"/>
    <col min="11264" max="11264" width="13.85546875" style="376" customWidth="1"/>
    <col min="11265" max="11265" width="14" style="376" bestFit="1" customWidth="1"/>
    <col min="11266" max="11266" width="11.7109375" style="376" bestFit="1" customWidth="1"/>
    <col min="11267" max="11267" width="7.7109375" style="376" customWidth="1"/>
    <col min="11268" max="11268" width="10.7109375" style="376" customWidth="1"/>
    <col min="11269" max="11269" width="11.85546875" style="376" customWidth="1"/>
    <col min="11270" max="11270" width="13.5703125" style="376" customWidth="1"/>
    <col min="11271" max="11271" width="14" style="376" customWidth="1"/>
    <col min="11272" max="11272" width="11.7109375" style="376" bestFit="1" customWidth="1"/>
    <col min="11273" max="11273" width="7.7109375" style="376" customWidth="1"/>
    <col min="11274" max="11274" width="10.7109375" style="376" customWidth="1"/>
    <col min="11275" max="11519" width="9.140625" style="376"/>
    <col min="11520" max="11520" width="13.85546875" style="376" customWidth="1"/>
    <col min="11521" max="11521" width="14" style="376" bestFit="1" customWidth="1"/>
    <col min="11522" max="11522" width="11.7109375" style="376" bestFit="1" customWidth="1"/>
    <col min="11523" max="11523" width="7.7109375" style="376" customWidth="1"/>
    <col min="11524" max="11524" width="10.7109375" style="376" customWidth="1"/>
    <col min="11525" max="11525" width="11.85546875" style="376" customWidth="1"/>
    <col min="11526" max="11526" width="13.5703125" style="376" customWidth="1"/>
    <col min="11527" max="11527" width="14" style="376" customWidth="1"/>
    <col min="11528" max="11528" width="11.7109375" style="376" bestFit="1" customWidth="1"/>
    <col min="11529" max="11529" width="7.7109375" style="376" customWidth="1"/>
    <col min="11530" max="11530" width="10.7109375" style="376" customWidth="1"/>
    <col min="11531" max="11775" width="9.140625" style="376"/>
    <col min="11776" max="11776" width="13.85546875" style="376" customWidth="1"/>
    <col min="11777" max="11777" width="14" style="376" bestFit="1" customWidth="1"/>
    <col min="11778" max="11778" width="11.7109375" style="376" bestFit="1" customWidth="1"/>
    <col min="11779" max="11779" width="7.7109375" style="376" customWidth="1"/>
    <col min="11780" max="11780" width="10.7109375" style="376" customWidth="1"/>
    <col min="11781" max="11781" width="11.85546875" style="376" customWidth="1"/>
    <col min="11782" max="11782" width="13.5703125" style="376" customWidth="1"/>
    <col min="11783" max="11783" width="14" style="376" customWidth="1"/>
    <col min="11784" max="11784" width="11.7109375" style="376" bestFit="1" customWidth="1"/>
    <col min="11785" max="11785" width="7.7109375" style="376" customWidth="1"/>
    <col min="11786" max="11786" width="10.7109375" style="376" customWidth="1"/>
    <col min="11787" max="12031" width="9.140625" style="376"/>
    <col min="12032" max="12032" width="13.85546875" style="376" customWidth="1"/>
    <col min="12033" max="12033" width="14" style="376" bestFit="1" customWidth="1"/>
    <col min="12034" max="12034" width="11.7109375" style="376" bestFit="1" customWidth="1"/>
    <col min="12035" max="12035" width="7.7109375" style="376" customWidth="1"/>
    <col min="12036" max="12036" width="10.7109375" style="376" customWidth="1"/>
    <col min="12037" max="12037" width="11.85546875" style="376" customWidth="1"/>
    <col min="12038" max="12038" width="13.5703125" style="376" customWidth="1"/>
    <col min="12039" max="12039" width="14" style="376" customWidth="1"/>
    <col min="12040" max="12040" width="11.7109375" style="376" bestFit="1" customWidth="1"/>
    <col min="12041" max="12041" width="7.7109375" style="376" customWidth="1"/>
    <col min="12042" max="12042" width="10.7109375" style="376" customWidth="1"/>
    <col min="12043" max="12287" width="9.140625" style="376"/>
    <col min="12288" max="12288" width="13.85546875" style="376" customWidth="1"/>
    <col min="12289" max="12289" width="14" style="376" bestFit="1" customWidth="1"/>
    <col min="12290" max="12290" width="11.7109375" style="376" bestFit="1" customWidth="1"/>
    <col min="12291" max="12291" width="7.7109375" style="376" customWidth="1"/>
    <col min="12292" max="12292" width="10.7109375" style="376" customWidth="1"/>
    <col min="12293" max="12293" width="11.85546875" style="376" customWidth="1"/>
    <col min="12294" max="12294" width="13.5703125" style="376" customWidth="1"/>
    <col min="12295" max="12295" width="14" style="376" customWidth="1"/>
    <col min="12296" max="12296" width="11.7109375" style="376" bestFit="1" customWidth="1"/>
    <col min="12297" max="12297" width="7.7109375" style="376" customWidth="1"/>
    <col min="12298" max="12298" width="10.7109375" style="376" customWidth="1"/>
    <col min="12299" max="12543" width="9.140625" style="376"/>
    <col min="12544" max="12544" width="13.85546875" style="376" customWidth="1"/>
    <col min="12545" max="12545" width="14" style="376" bestFit="1" customWidth="1"/>
    <col min="12546" max="12546" width="11.7109375" style="376" bestFit="1" customWidth="1"/>
    <col min="12547" max="12547" width="7.7109375" style="376" customWidth="1"/>
    <col min="12548" max="12548" width="10.7109375" style="376" customWidth="1"/>
    <col min="12549" max="12549" width="11.85546875" style="376" customWidth="1"/>
    <col min="12550" max="12550" width="13.5703125" style="376" customWidth="1"/>
    <col min="12551" max="12551" width="14" style="376" customWidth="1"/>
    <col min="12552" max="12552" width="11.7109375" style="376" bestFit="1" customWidth="1"/>
    <col min="12553" max="12553" width="7.7109375" style="376" customWidth="1"/>
    <col min="12554" max="12554" width="10.7109375" style="376" customWidth="1"/>
    <col min="12555" max="12799" width="9.140625" style="376"/>
    <col min="12800" max="12800" width="13.85546875" style="376" customWidth="1"/>
    <col min="12801" max="12801" width="14" style="376" bestFit="1" customWidth="1"/>
    <col min="12802" max="12802" width="11.7109375" style="376" bestFit="1" customWidth="1"/>
    <col min="12803" max="12803" width="7.7109375" style="376" customWidth="1"/>
    <col min="12804" max="12804" width="10.7109375" style="376" customWidth="1"/>
    <col min="12805" max="12805" width="11.85546875" style="376" customWidth="1"/>
    <col min="12806" max="12806" width="13.5703125" style="376" customWidth="1"/>
    <col min="12807" max="12807" width="14" style="376" customWidth="1"/>
    <col min="12808" max="12808" width="11.7109375" style="376" bestFit="1" customWidth="1"/>
    <col min="12809" max="12809" width="7.7109375" style="376" customWidth="1"/>
    <col min="12810" max="12810" width="10.7109375" style="376" customWidth="1"/>
    <col min="12811" max="13055" width="9.140625" style="376"/>
    <col min="13056" max="13056" width="13.85546875" style="376" customWidth="1"/>
    <col min="13057" max="13057" width="14" style="376" bestFit="1" customWidth="1"/>
    <col min="13058" max="13058" width="11.7109375" style="376" bestFit="1" customWidth="1"/>
    <col min="13059" max="13059" width="7.7109375" style="376" customWidth="1"/>
    <col min="13060" max="13060" width="10.7109375" style="376" customWidth="1"/>
    <col min="13061" max="13061" width="11.85546875" style="376" customWidth="1"/>
    <col min="13062" max="13062" width="13.5703125" style="376" customWidth="1"/>
    <col min="13063" max="13063" width="14" style="376" customWidth="1"/>
    <col min="13064" max="13064" width="11.7109375" style="376" bestFit="1" customWidth="1"/>
    <col min="13065" max="13065" width="7.7109375" style="376" customWidth="1"/>
    <col min="13066" max="13066" width="10.7109375" style="376" customWidth="1"/>
    <col min="13067" max="13311" width="9.140625" style="376"/>
    <col min="13312" max="13312" width="13.85546875" style="376" customWidth="1"/>
    <col min="13313" max="13313" width="14" style="376" bestFit="1" customWidth="1"/>
    <col min="13314" max="13314" width="11.7109375" style="376" bestFit="1" customWidth="1"/>
    <col min="13315" max="13315" width="7.7109375" style="376" customWidth="1"/>
    <col min="13316" max="13316" width="10.7109375" style="376" customWidth="1"/>
    <col min="13317" max="13317" width="11.85546875" style="376" customWidth="1"/>
    <col min="13318" max="13318" width="13.5703125" style="376" customWidth="1"/>
    <col min="13319" max="13319" width="14" style="376" customWidth="1"/>
    <col min="13320" max="13320" width="11.7109375" style="376" bestFit="1" customWidth="1"/>
    <col min="13321" max="13321" width="7.7109375" style="376" customWidth="1"/>
    <col min="13322" max="13322" width="10.7109375" style="376" customWidth="1"/>
    <col min="13323" max="13567" width="9.140625" style="376"/>
    <col min="13568" max="13568" width="13.85546875" style="376" customWidth="1"/>
    <col min="13569" max="13569" width="14" style="376" bestFit="1" customWidth="1"/>
    <col min="13570" max="13570" width="11.7109375" style="376" bestFit="1" customWidth="1"/>
    <col min="13571" max="13571" width="7.7109375" style="376" customWidth="1"/>
    <col min="13572" max="13572" width="10.7109375" style="376" customWidth="1"/>
    <col min="13573" max="13573" width="11.85546875" style="376" customWidth="1"/>
    <col min="13574" max="13574" width="13.5703125" style="376" customWidth="1"/>
    <col min="13575" max="13575" width="14" style="376" customWidth="1"/>
    <col min="13576" max="13576" width="11.7109375" style="376" bestFit="1" customWidth="1"/>
    <col min="13577" max="13577" width="7.7109375" style="376" customWidth="1"/>
    <col min="13578" max="13578" width="10.7109375" style="376" customWidth="1"/>
    <col min="13579" max="13823" width="9.140625" style="376"/>
    <col min="13824" max="13824" width="13.85546875" style="376" customWidth="1"/>
    <col min="13825" max="13825" width="14" style="376" bestFit="1" customWidth="1"/>
    <col min="13826" max="13826" width="11.7109375" style="376" bestFit="1" customWidth="1"/>
    <col min="13827" max="13827" width="7.7109375" style="376" customWidth="1"/>
    <col min="13828" max="13828" width="10.7109375" style="376" customWidth="1"/>
    <col min="13829" max="13829" width="11.85546875" style="376" customWidth="1"/>
    <col min="13830" max="13830" width="13.5703125" style="376" customWidth="1"/>
    <col min="13831" max="13831" width="14" style="376" customWidth="1"/>
    <col min="13832" max="13832" width="11.7109375" style="376" bestFit="1" customWidth="1"/>
    <col min="13833" max="13833" width="7.7109375" style="376" customWidth="1"/>
    <col min="13834" max="13834" width="10.7109375" style="376" customWidth="1"/>
    <col min="13835" max="14079" width="9.140625" style="376"/>
    <col min="14080" max="14080" width="13.85546875" style="376" customWidth="1"/>
    <col min="14081" max="14081" width="14" style="376" bestFit="1" customWidth="1"/>
    <col min="14082" max="14082" width="11.7109375" style="376" bestFit="1" customWidth="1"/>
    <col min="14083" max="14083" width="7.7109375" style="376" customWidth="1"/>
    <col min="14084" max="14084" width="10.7109375" style="376" customWidth="1"/>
    <col min="14085" max="14085" width="11.85546875" style="376" customWidth="1"/>
    <col min="14086" max="14086" width="13.5703125" style="376" customWidth="1"/>
    <col min="14087" max="14087" width="14" style="376" customWidth="1"/>
    <col min="14088" max="14088" width="11.7109375" style="376" bestFit="1" customWidth="1"/>
    <col min="14089" max="14089" width="7.7109375" style="376" customWidth="1"/>
    <col min="14090" max="14090" width="10.7109375" style="376" customWidth="1"/>
    <col min="14091" max="14335" width="9.140625" style="376"/>
    <col min="14336" max="14336" width="13.85546875" style="376" customWidth="1"/>
    <col min="14337" max="14337" width="14" style="376" bestFit="1" customWidth="1"/>
    <col min="14338" max="14338" width="11.7109375" style="376" bestFit="1" customWidth="1"/>
    <col min="14339" max="14339" width="7.7109375" style="376" customWidth="1"/>
    <col min="14340" max="14340" width="10.7109375" style="376" customWidth="1"/>
    <col min="14341" max="14341" width="11.85546875" style="376" customWidth="1"/>
    <col min="14342" max="14342" width="13.5703125" style="376" customWidth="1"/>
    <col min="14343" max="14343" width="14" style="376" customWidth="1"/>
    <col min="14344" max="14344" width="11.7109375" style="376" bestFit="1" customWidth="1"/>
    <col min="14345" max="14345" width="7.7109375" style="376" customWidth="1"/>
    <col min="14346" max="14346" width="10.7109375" style="376" customWidth="1"/>
    <col min="14347" max="14591" width="9.140625" style="376"/>
    <col min="14592" max="14592" width="13.85546875" style="376" customWidth="1"/>
    <col min="14593" max="14593" width="14" style="376" bestFit="1" customWidth="1"/>
    <col min="14594" max="14594" width="11.7109375" style="376" bestFit="1" customWidth="1"/>
    <col min="14595" max="14595" width="7.7109375" style="376" customWidth="1"/>
    <col min="14596" max="14596" width="10.7109375" style="376" customWidth="1"/>
    <col min="14597" max="14597" width="11.85546875" style="376" customWidth="1"/>
    <col min="14598" max="14598" width="13.5703125" style="376" customWidth="1"/>
    <col min="14599" max="14599" width="14" style="376" customWidth="1"/>
    <col min="14600" max="14600" width="11.7109375" style="376" bestFit="1" customWidth="1"/>
    <col min="14601" max="14601" width="7.7109375" style="376" customWidth="1"/>
    <col min="14602" max="14602" width="10.7109375" style="376" customWidth="1"/>
    <col min="14603" max="14847" width="9.140625" style="376"/>
    <col min="14848" max="14848" width="13.85546875" style="376" customWidth="1"/>
    <col min="14849" max="14849" width="14" style="376" bestFit="1" customWidth="1"/>
    <col min="14850" max="14850" width="11.7109375" style="376" bestFit="1" customWidth="1"/>
    <col min="14851" max="14851" width="7.7109375" style="376" customWidth="1"/>
    <col min="14852" max="14852" width="10.7109375" style="376" customWidth="1"/>
    <col min="14853" max="14853" width="11.85546875" style="376" customWidth="1"/>
    <col min="14854" max="14854" width="13.5703125" style="376" customWidth="1"/>
    <col min="14855" max="14855" width="14" style="376" customWidth="1"/>
    <col min="14856" max="14856" width="11.7109375" style="376" bestFit="1" customWidth="1"/>
    <col min="14857" max="14857" width="7.7109375" style="376" customWidth="1"/>
    <col min="14858" max="14858" width="10.7109375" style="376" customWidth="1"/>
    <col min="14859" max="15103" width="9.140625" style="376"/>
    <col min="15104" max="15104" width="13.85546875" style="376" customWidth="1"/>
    <col min="15105" max="15105" width="14" style="376" bestFit="1" customWidth="1"/>
    <col min="15106" max="15106" width="11.7109375" style="376" bestFit="1" customWidth="1"/>
    <col min="15107" max="15107" width="7.7109375" style="376" customWidth="1"/>
    <col min="15108" max="15108" width="10.7109375" style="376" customWidth="1"/>
    <col min="15109" max="15109" width="11.85546875" style="376" customWidth="1"/>
    <col min="15110" max="15110" width="13.5703125" style="376" customWidth="1"/>
    <col min="15111" max="15111" width="14" style="376" customWidth="1"/>
    <col min="15112" max="15112" width="11.7109375" style="376" bestFit="1" customWidth="1"/>
    <col min="15113" max="15113" width="7.7109375" style="376" customWidth="1"/>
    <col min="15114" max="15114" width="10.7109375" style="376" customWidth="1"/>
    <col min="15115" max="15359" width="9.140625" style="376"/>
    <col min="15360" max="15360" width="13.85546875" style="376" customWidth="1"/>
    <col min="15361" max="15361" width="14" style="376" bestFit="1" customWidth="1"/>
    <col min="15362" max="15362" width="11.7109375" style="376" bestFit="1" customWidth="1"/>
    <col min="15363" max="15363" width="7.7109375" style="376" customWidth="1"/>
    <col min="15364" max="15364" width="10.7109375" style="376" customWidth="1"/>
    <col min="15365" max="15365" width="11.85546875" style="376" customWidth="1"/>
    <col min="15366" max="15366" width="13.5703125" style="376" customWidth="1"/>
    <col min="15367" max="15367" width="14" style="376" customWidth="1"/>
    <col min="15368" max="15368" width="11.7109375" style="376" bestFit="1" customWidth="1"/>
    <col min="15369" max="15369" width="7.7109375" style="376" customWidth="1"/>
    <col min="15370" max="15370" width="10.7109375" style="376" customWidth="1"/>
    <col min="15371" max="15615" width="9.140625" style="376"/>
    <col min="15616" max="15616" width="13.85546875" style="376" customWidth="1"/>
    <col min="15617" max="15617" width="14" style="376" bestFit="1" customWidth="1"/>
    <col min="15618" max="15618" width="11.7109375" style="376" bestFit="1" customWidth="1"/>
    <col min="15619" max="15619" width="7.7109375" style="376" customWidth="1"/>
    <col min="15620" max="15620" width="10.7109375" style="376" customWidth="1"/>
    <col min="15621" max="15621" width="11.85546875" style="376" customWidth="1"/>
    <col min="15622" max="15622" width="13.5703125" style="376" customWidth="1"/>
    <col min="15623" max="15623" width="14" style="376" customWidth="1"/>
    <col min="15624" max="15624" width="11.7109375" style="376" bestFit="1" customWidth="1"/>
    <col min="15625" max="15625" width="7.7109375" style="376" customWidth="1"/>
    <col min="15626" max="15626" width="10.7109375" style="376" customWidth="1"/>
    <col min="15627" max="15871" width="9.140625" style="376"/>
    <col min="15872" max="15872" width="13.85546875" style="376" customWidth="1"/>
    <col min="15873" max="15873" width="14" style="376" bestFit="1" customWidth="1"/>
    <col min="15874" max="15874" width="11.7109375" style="376" bestFit="1" customWidth="1"/>
    <col min="15875" max="15875" width="7.7109375" style="376" customWidth="1"/>
    <col min="15876" max="15876" width="10.7109375" style="376" customWidth="1"/>
    <col min="15877" max="15877" width="11.85546875" style="376" customWidth="1"/>
    <col min="15878" max="15878" width="13.5703125" style="376" customWidth="1"/>
    <col min="15879" max="15879" width="14" style="376" customWidth="1"/>
    <col min="15880" max="15880" width="11.7109375" style="376" bestFit="1" customWidth="1"/>
    <col min="15881" max="15881" width="7.7109375" style="376" customWidth="1"/>
    <col min="15882" max="15882" width="10.7109375" style="376" customWidth="1"/>
    <col min="15883" max="16127" width="9.140625" style="376"/>
    <col min="16128" max="16128" width="13.85546875" style="376" customWidth="1"/>
    <col min="16129" max="16129" width="14" style="376" bestFit="1" customWidth="1"/>
    <col min="16130" max="16130" width="11.7109375" style="376" bestFit="1" customWidth="1"/>
    <col min="16131" max="16131" width="7.7109375" style="376" customWidth="1"/>
    <col min="16132" max="16132" width="10.7109375" style="376" customWidth="1"/>
    <col min="16133" max="16133" width="11.85546875" style="376" customWidth="1"/>
    <col min="16134" max="16134" width="13.5703125" style="376" customWidth="1"/>
    <col min="16135" max="16135" width="14" style="376" customWidth="1"/>
    <col min="16136" max="16136" width="11.7109375" style="376" bestFit="1" customWidth="1"/>
    <col min="16137" max="16137" width="7.7109375" style="376" customWidth="1"/>
    <col min="16138" max="16138" width="10.7109375" style="376" customWidth="1"/>
    <col min="16139" max="16384" width="9.140625" style="376"/>
  </cols>
  <sheetData>
    <row r="1" spans="1:14" ht="15" thickBot="1">
      <c r="A1" s="374"/>
      <c r="B1" s="374"/>
      <c r="C1" s="374"/>
      <c r="D1" s="374"/>
      <c r="E1" s="374"/>
      <c r="G1" s="374"/>
      <c r="H1" s="374"/>
      <c r="I1" s="374"/>
      <c r="J1" s="374"/>
      <c r="K1" s="374"/>
    </row>
    <row r="2" spans="1:14">
      <c r="A2" s="377" t="s">
        <v>719</v>
      </c>
      <c r="B2" s="378">
        <v>0</v>
      </c>
      <c r="C2" s="379" t="s">
        <v>720</v>
      </c>
      <c r="D2" s="380">
        <v>28.8</v>
      </c>
      <c r="E2" s="381">
        <f>B2*D2</f>
        <v>0</v>
      </c>
      <c r="G2" s="377" t="s">
        <v>551</v>
      </c>
      <c r="H2" s="378">
        <v>0</v>
      </c>
      <c r="I2" s="379" t="s">
        <v>720</v>
      </c>
      <c r="J2" s="380">
        <v>29.16</v>
      </c>
      <c r="K2" s="381">
        <f>J2*H2</f>
        <v>0</v>
      </c>
    </row>
    <row r="3" spans="1:14" ht="22.5">
      <c r="A3" s="382" t="s">
        <v>721</v>
      </c>
      <c r="B3" s="383" t="s">
        <v>722</v>
      </c>
      <c r="C3" s="559" t="s">
        <v>723</v>
      </c>
      <c r="D3" s="559"/>
      <c r="E3" s="560"/>
      <c r="G3" s="382" t="s">
        <v>721</v>
      </c>
      <c r="H3" s="383" t="s">
        <v>722</v>
      </c>
      <c r="I3" s="559" t="s">
        <v>723</v>
      </c>
      <c r="J3" s="559"/>
      <c r="K3" s="560"/>
    </row>
    <row r="4" spans="1:14">
      <c r="A4" s="384" t="s">
        <v>560</v>
      </c>
      <c r="B4" s="385">
        <v>100</v>
      </c>
      <c r="C4" s="561">
        <f>1825*B4/100*$B$2</f>
        <v>0</v>
      </c>
      <c r="D4" s="562"/>
      <c r="E4" s="563"/>
      <c r="G4" s="384" t="s">
        <v>560</v>
      </c>
      <c r="H4" s="385">
        <v>100</v>
      </c>
      <c r="I4" s="561">
        <f>1460*H4/100*$H$2</f>
        <v>0</v>
      </c>
      <c r="J4" s="564"/>
      <c r="K4" s="565"/>
    </row>
    <row r="5" spans="1:14">
      <c r="A5" s="384" t="s">
        <v>724</v>
      </c>
      <c r="B5" s="385">
        <v>0</v>
      </c>
      <c r="C5" s="561">
        <f t="shared" ref="C5:C13" si="0">1825*B5/100*$B$2</f>
        <v>0</v>
      </c>
      <c r="D5" s="562"/>
      <c r="E5" s="563"/>
      <c r="G5" s="384" t="s">
        <v>724</v>
      </c>
      <c r="H5" s="385">
        <v>0</v>
      </c>
      <c r="I5" s="561">
        <f t="shared" ref="I5:I17" si="1">1460*H5/100*$H$2</f>
        <v>0</v>
      </c>
      <c r="J5" s="564"/>
      <c r="K5" s="565"/>
    </row>
    <row r="6" spans="1:14">
      <c r="A6" s="384" t="s">
        <v>558</v>
      </c>
      <c r="B6" s="385">
        <v>0</v>
      </c>
      <c r="C6" s="561">
        <f t="shared" si="0"/>
        <v>0</v>
      </c>
      <c r="D6" s="562"/>
      <c r="E6" s="563"/>
      <c r="G6" s="384" t="s">
        <v>558</v>
      </c>
      <c r="H6" s="385">
        <v>0</v>
      </c>
      <c r="I6" s="561">
        <f t="shared" si="1"/>
        <v>0</v>
      </c>
      <c r="J6" s="564"/>
      <c r="K6" s="565"/>
    </row>
    <row r="7" spans="1:14">
      <c r="A7" s="384" t="s">
        <v>567</v>
      </c>
      <c r="B7" s="385">
        <v>0</v>
      </c>
      <c r="C7" s="561">
        <f t="shared" si="0"/>
        <v>0</v>
      </c>
      <c r="D7" s="562"/>
      <c r="E7" s="563"/>
      <c r="G7" s="384" t="s">
        <v>567</v>
      </c>
      <c r="H7" s="385">
        <v>0</v>
      </c>
      <c r="I7" s="561">
        <f t="shared" si="1"/>
        <v>0</v>
      </c>
      <c r="J7" s="564"/>
      <c r="K7" s="565"/>
    </row>
    <row r="8" spans="1:14">
      <c r="A8" s="384" t="s">
        <v>566</v>
      </c>
      <c r="B8" s="385">
        <v>0</v>
      </c>
      <c r="C8" s="561">
        <f t="shared" si="0"/>
        <v>0</v>
      </c>
      <c r="D8" s="562"/>
      <c r="E8" s="563"/>
      <c r="G8" s="384" t="s">
        <v>566</v>
      </c>
      <c r="H8" s="385">
        <v>0</v>
      </c>
      <c r="I8" s="561">
        <f t="shared" si="1"/>
        <v>0</v>
      </c>
      <c r="J8" s="564"/>
      <c r="K8" s="565"/>
    </row>
    <row r="9" spans="1:14">
      <c r="A9" s="384" t="s">
        <v>557</v>
      </c>
      <c r="B9" s="385">
        <v>0</v>
      </c>
      <c r="C9" s="561">
        <f t="shared" si="0"/>
        <v>0</v>
      </c>
      <c r="D9" s="562"/>
      <c r="E9" s="563"/>
      <c r="G9" s="384" t="s">
        <v>557</v>
      </c>
      <c r="H9" s="385">
        <v>0</v>
      </c>
      <c r="I9" s="561">
        <f t="shared" si="1"/>
        <v>0</v>
      </c>
      <c r="J9" s="564"/>
      <c r="K9" s="565"/>
    </row>
    <row r="10" spans="1:14">
      <c r="A10" s="384" t="s">
        <v>561</v>
      </c>
      <c r="B10" s="385">
        <v>0</v>
      </c>
      <c r="C10" s="561">
        <f t="shared" si="0"/>
        <v>0</v>
      </c>
      <c r="D10" s="562"/>
      <c r="E10" s="563"/>
      <c r="G10" s="384" t="s">
        <v>561</v>
      </c>
      <c r="H10" s="385">
        <v>0</v>
      </c>
      <c r="I10" s="561">
        <f t="shared" si="1"/>
        <v>0</v>
      </c>
      <c r="J10" s="564"/>
      <c r="K10" s="565"/>
    </row>
    <row r="11" spans="1:14">
      <c r="A11" s="384" t="s">
        <v>563</v>
      </c>
      <c r="B11" s="385">
        <v>0</v>
      </c>
      <c r="C11" s="561">
        <f t="shared" si="0"/>
        <v>0</v>
      </c>
      <c r="D11" s="562"/>
      <c r="E11" s="563"/>
      <c r="G11" s="384" t="s">
        <v>563</v>
      </c>
      <c r="H11" s="385">
        <v>0</v>
      </c>
      <c r="I11" s="561">
        <f t="shared" si="1"/>
        <v>0</v>
      </c>
      <c r="J11" s="564"/>
      <c r="K11" s="565"/>
    </row>
    <row r="12" spans="1:14">
      <c r="A12" s="386"/>
      <c r="B12" s="385">
        <v>0</v>
      </c>
      <c r="C12" s="561">
        <f t="shared" si="0"/>
        <v>0</v>
      </c>
      <c r="D12" s="562"/>
      <c r="E12" s="563"/>
      <c r="G12" s="386"/>
      <c r="H12" s="385">
        <v>0</v>
      </c>
      <c r="I12" s="561">
        <f>1460*H12/100*$H$2</f>
        <v>0</v>
      </c>
      <c r="J12" s="564"/>
      <c r="K12" s="565"/>
    </row>
    <row r="13" spans="1:14">
      <c r="A13" s="384" t="s">
        <v>725</v>
      </c>
      <c r="B13" s="385">
        <v>0</v>
      </c>
      <c r="C13" s="561">
        <f t="shared" si="0"/>
        <v>0</v>
      </c>
      <c r="D13" s="562"/>
      <c r="E13" s="563"/>
      <c r="G13" s="384" t="s">
        <v>725</v>
      </c>
      <c r="H13" s="385">
        <v>0</v>
      </c>
      <c r="I13" s="561">
        <f t="shared" si="1"/>
        <v>0</v>
      </c>
      <c r="J13" s="564"/>
      <c r="K13" s="565"/>
      <c r="N13" s="376" t="s">
        <v>726</v>
      </c>
    </row>
    <row r="14" spans="1:14">
      <c r="A14" s="384" t="s">
        <v>532</v>
      </c>
      <c r="B14" s="385">
        <v>0</v>
      </c>
      <c r="C14" s="561">
        <f>3650*B14/100*$B$2</f>
        <v>0</v>
      </c>
      <c r="D14" s="564"/>
      <c r="E14" s="565"/>
      <c r="G14" s="384" t="s">
        <v>532</v>
      </c>
      <c r="H14" s="385">
        <v>0</v>
      </c>
      <c r="I14" s="561">
        <f t="shared" si="1"/>
        <v>0</v>
      </c>
      <c r="J14" s="564"/>
      <c r="K14" s="565"/>
      <c r="N14" s="376" t="s">
        <v>727</v>
      </c>
    </row>
    <row r="15" spans="1:14">
      <c r="A15" s="384" t="s">
        <v>728</v>
      </c>
      <c r="B15" s="385">
        <v>0</v>
      </c>
      <c r="C15" s="561">
        <f t="shared" ref="C15:C17" si="2">3650*B15/100*$B$2</f>
        <v>0</v>
      </c>
      <c r="D15" s="564"/>
      <c r="E15" s="565"/>
      <c r="G15" s="384" t="s">
        <v>728</v>
      </c>
      <c r="H15" s="385">
        <v>0</v>
      </c>
      <c r="I15" s="561">
        <f t="shared" si="1"/>
        <v>0</v>
      </c>
      <c r="J15" s="564"/>
      <c r="K15" s="565"/>
    </row>
    <row r="16" spans="1:14">
      <c r="A16" s="384" t="s">
        <v>729</v>
      </c>
      <c r="B16" s="385">
        <v>100</v>
      </c>
      <c r="C16" s="561">
        <f t="shared" si="2"/>
        <v>0</v>
      </c>
      <c r="D16" s="564"/>
      <c r="E16" s="565"/>
      <c r="G16" s="384" t="s">
        <v>729</v>
      </c>
      <c r="H16" s="385">
        <v>100</v>
      </c>
      <c r="I16" s="561">
        <f t="shared" si="1"/>
        <v>0</v>
      </c>
      <c r="J16" s="564"/>
      <c r="K16" s="565"/>
    </row>
    <row r="17" spans="1:11" ht="15" thickBot="1">
      <c r="A17" s="387" t="s">
        <v>730</v>
      </c>
      <c r="B17" s="388">
        <v>0</v>
      </c>
      <c r="C17" s="566">
        <f t="shared" si="2"/>
        <v>0</v>
      </c>
      <c r="D17" s="567"/>
      <c r="E17" s="568"/>
      <c r="G17" s="387" t="s">
        <v>730</v>
      </c>
      <c r="H17" s="388">
        <v>0</v>
      </c>
      <c r="I17" s="566">
        <f t="shared" si="1"/>
        <v>0</v>
      </c>
      <c r="J17" s="567"/>
      <c r="K17" s="568"/>
    </row>
    <row r="18" spans="1:11">
      <c r="A18" s="374"/>
      <c r="B18" s="374">
        <f>SUM(B4:B13)</f>
        <v>100</v>
      </c>
      <c r="C18" s="374" t="s">
        <v>731</v>
      </c>
      <c r="D18" s="374"/>
      <c r="E18" s="374"/>
      <c r="G18" s="374"/>
      <c r="H18" s="374">
        <f>SUM(H4:H13)</f>
        <v>100</v>
      </c>
      <c r="I18" s="374" t="s">
        <v>731</v>
      </c>
      <c r="J18" s="374"/>
      <c r="K18" s="374"/>
    </row>
    <row r="19" spans="1:11" ht="15" thickBot="1">
      <c r="A19" s="374"/>
      <c r="B19" s="374">
        <f>SUM(B14:B17)</f>
        <v>100</v>
      </c>
      <c r="C19" s="374" t="s">
        <v>731</v>
      </c>
      <c r="D19" s="374"/>
      <c r="E19" s="374"/>
      <c r="G19" s="374"/>
      <c r="H19" s="374">
        <f>SUM(H14:H17)</f>
        <v>100</v>
      </c>
      <c r="I19" s="374" t="s">
        <v>731</v>
      </c>
      <c r="J19" s="374"/>
      <c r="K19" s="374"/>
    </row>
    <row r="20" spans="1:11">
      <c r="A20" s="389" t="s">
        <v>732</v>
      </c>
      <c r="B20" s="378">
        <v>150</v>
      </c>
      <c r="C20" s="390" t="s">
        <v>733</v>
      </c>
      <c r="D20" s="378">
        <v>550</v>
      </c>
      <c r="E20" s="391">
        <f>(D20-B20)*5</f>
        <v>2000</v>
      </c>
      <c r="G20" s="389" t="s">
        <v>732</v>
      </c>
      <c r="H20" s="378">
        <v>10</v>
      </c>
      <c r="I20" s="390" t="s">
        <v>733</v>
      </c>
      <c r="J20" s="378">
        <v>25</v>
      </c>
      <c r="K20" s="392">
        <f>(J20-H20)*2.2</f>
        <v>33</v>
      </c>
    </row>
    <row r="21" spans="1:11">
      <c r="A21" s="393" t="s">
        <v>552</v>
      </c>
      <c r="B21" s="394">
        <v>0</v>
      </c>
      <c r="C21" s="395" t="s">
        <v>720</v>
      </c>
      <c r="D21" s="396">
        <v>18.239999999999998</v>
      </c>
      <c r="E21" s="397">
        <f>D21*B21</f>
        <v>0</v>
      </c>
      <c r="G21" s="393" t="s">
        <v>734</v>
      </c>
      <c r="H21" s="394">
        <v>0</v>
      </c>
      <c r="I21" s="395" t="s">
        <v>720</v>
      </c>
      <c r="J21" s="396">
        <v>4</v>
      </c>
      <c r="K21" s="397">
        <f>J21*H21</f>
        <v>0</v>
      </c>
    </row>
    <row r="22" spans="1:11" ht="22.5">
      <c r="A22" s="382" t="s">
        <v>721</v>
      </c>
      <c r="B22" s="383" t="s">
        <v>722</v>
      </c>
      <c r="C22" s="559" t="s">
        <v>723</v>
      </c>
      <c r="D22" s="559"/>
      <c r="E22" s="560"/>
      <c r="G22" s="382" t="s">
        <v>721</v>
      </c>
      <c r="H22" s="383" t="s">
        <v>722</v>
      </c>
      <c r="I22" s="559" t="s">
        <v>723</v>
      </c>
      <c r="J22" s="559"/>
      <c r="K22" s="560"/>
    </row>
    <row r="23" spans="1:11">
      <c r="A23" s="384" t="s">
        <v>560</v>
      </c>
      <c r="B23" s="385">
        <v>100</v>
      </c>
      <c r="C23" s="561">
        <f>$E$20*B23/100*$B$21</f>
        <v>0</v>
      </c>
      <c r="D23" s="564"/>
      <c r="E23" s="565"/>
      <c r="G23" s="384" t="s">
        <v>560</v>
      </c>
      <c r="H23" s="385">
        <v>100</v>
      </c>
      <c r="I23" s="569">
        <f>$K$20*H23/100*$H$21</f>
        <v>0</v>
      </c>
      <c r="J23" s="569"/>
      <c r="K23" s="570"/>
    </row>
    <row r="24" spans="1:11">
      <c r="A24" s="384" t="s">
        <v>724</v>
      </c>
      <c r="B24" s="385">
        <v>0</v>
      </c>
      <c r="C24" s="561">
        <f t="shared" ref="C24:C31" si="3">$E$20*B24/100*$B$21</f>
        <v>0</v>
      </c>
      <c r="D24" s="564"/>
      <c r="E24" s="565"/>
      <c r="G24" s="384" t="s">
        <v>724</v>
      </c>
      <c r="H24" s="385">
        <v>0</v>
      </c>
      <c r="I24" s="569">
        <f t="shared" ref="I24:I34" si="4">$K$20*H24/100*$H$21</f>
        <v>0</v>
      </c>
      <c r="J24" s="569"/>
      <c r="K24" s="570"/>
    </row>
    <row r="25" spans="1:11">
      <c r="A25" s="384" t="s">
        <v>558</v>
      </c>
      <c r="B25" s="385">
        <v>0</v>
      </c>
      <c r="C25" s="561">
        <f t="shared" si="3"/>
        <v>0</v>
      </c>
      <c r="D25" s="564"/>
      <c r="E25" s="565"/>
      <c r="G25" s="384" t="s">
        <v>558</v>
      </c>
      <c r="H25" s="385">
        <v>0</v>
      </c>
      <c r="I25" s="569">
        <f t="shared" si="4"/>
        <v>0</v>
      </c>
      <c r="J25" s="569"/>
      <c r="K25" s="570"/>
    </row>
    <row r="26" spans="1:11">
      <c r="A26" s="384" t="s">
        <v>567</v>
      </c>
      <c r="B26" s="385">
        <v>0</v>
      </c>
      <c r="C26" s="561">
        <f t="shared" si="3"/>
        <v>0</v>
      </c>
      <c r="D26" s="564"/>
      <c r="E26" s="565"/>
      <c r="G26" s="384" t="s">
        <v>567</v>
      </c>
      <c r="H26" s="385">
        <v>0</v>
      </c>
      <c r="I26" s="569">
        <f t="shared" si="4"/>
        <v>0</v>
      </c>
      <c r="J26" s="569"/>
      <c r="K26" s="570"/>
    </row>
    <row r="27" spans="1:11">
      <c r="A27" s="384" t="s">
        <v>566</v>
      </c>
      <c r="B27" s="385">
        <v>0</v>
      </c>
      <c r="C27" s="561">
        <f t="shared" si="3"/>
        <v>0</v>
      </c>
      <c r="D27" s="564"/>
      <c r="E27" s="565"/>
      <c r="G27" s="384" t="s">
        <v>566</v>
      </c>
      <c r="H27" s="385">
        <v>0</v>
      </c>
      <c r="I27" s="569">
        <f t="shared" si="4"/>
        <v>0</v>
      </c>
      <c r="J27" s="569"/>
      <c r="K27" s="570"/>
    </row>
    <row r="28" spans="1:11">
      <c r="A28" s="384" t="s">
        <v>557</v>
      </c>
      <c r="B28" s="385">
        <v>0</v>
      </c>
      <c r="C28" s="561">
        <f t="shared" si="3"/>
        <v>0</v>
      </c>
      <c r="D28" s="564"/>
      <c r="E28" s="565"/>
      <c r="G28" s="384" t="s">
        <v>557</v>
      </c>
      <c r="H28" s="385">
        <v>0</v>
      </c>
      <c r="I28" s="569">
        <f t="shared" si="4"/>
        <v>0</v>
      </c>
      <c r="J28" s="569"/>
      <c r="K28" s="570"/>
    </row>
    <row r="29" spans="1:11">
      <c r="A29" s="384" t="s">
        <v>561</v>
      </c>
      <c r="B29" s="385">
        <v>0</v>
      </c>
      <c r="C29" s="561">
        <f t="shared" si="3"/>
        <v>0</v>
      </c>
      <c r="D29" s="564"/>
      <c r="E29" s="565"/>
      <c r="G29" s="384" t="s">
        <v>561</v>
      </c>
      <c r="H29" s="385">
        <v>0</v>
      </c>
      <c r="I29" s="569">
        <f t="shared" si="4"/>
        <v>0</v>
      </c>
      <c r="J29" s="569"/>
      <c r="K29" s="570"/>
    </row>
    <row r="30" spans="1:11">
      <c r="A30" s="384" t="s">
        <v>563</v>
      </c>
      <c r="B30" s="385">
        <v>0</v>
      </c>
      <c r="C30" s="561">
        <f t="shared" si="3"/>
        <v>0</v>
      </c>
      <c r="D30" s="564"/>
      <c r="E30" s="565"/>
      <c r="G30" s="384" t="s">
        <v>563</v>
      </c>
      <c r="H30" s="385">
        <v>0</v>
      </c>
      <c r="I30" s="569">
        <f t="shared" si="4"/>
        <v>0</v>
      </c>
      <c r="J30" s="569"/>
      <c r="K30" s="570"/>
    </row>
    <row r="31" spans="1:11">
      <c r="A31" s="384" t="s">
        <v>735</v>
      </c>
      <c r="B31" s="385">
        <v>0</v>
      </c>
      <c r="C31" s="561">
        <f t="shared" si="3"/>
        <v>0</v>
      </c>
      <c r="D31" s="564"/>
      <c r="E31" s="565"/>
      <c r="G31" s="386"/>
      <c r="H31" s="385">
        <v>0</v>
      </c>
      <c r="I31" s="569">
        <f t="shared" si="4"/>
        <v>0</v>
      </c>
      <c r="J31" s="569"/>
      <c r="K31" s="570"/>
    </row>
    <row r="32" spans="1:11">
      <c r="A32" s="384" t="s">
        <v>532</v>
      </c>
      <c r="B32" s="385">
        <v>0</v>
      </c>
      <c r="C32" s="561">
        <f>$E$20*B32/100*$B$21*1.8</f>
        <v>0</v>
      </c>
      <c r="D32" s="562"/>
      <c r="E32" s="563"/>
      <c r="G32" s="386"/>
      <c r="H32" s="385">
        <v>0</v>
      </c>
      <c r="I32" s="569">
        <f t="shared" si="4"/>
        <v>0</v>
      </c>
      <c r="J32" s="569"/>
      <c r="K32" s="570"/>
    </row>
    <row r="33" spans="1:11">
      <c r="A33" s="384" t="s">
        <v>728</v>
      </c>
      <c r="B33" s="385">
        <v>0</v>
      </c>
      <c r="C33" s="561">
        <f t="shared" ref="C33:C35" si="5">$E$20*B33/100*$B$21*1.8</f>
        <v>0</v>
      </c>
      <c r="D33" s="562"/>
      <c r="E33" s="563"/>
      <c r="G33" s="386"/>
      <c r="H33" s="385">
        <v>0</v>
      </c>
      <c r="I33" s="569">
        <f t="shared" si="4"/>
        <v>0</v>
      </c>
      <c r="J33" s="569"/>
      <c r="K33" s="570"/>
    </row>
    <row r="34" spans="1:11" ht="15" thickBot="1">
      <c r="A34" s="384" t="s">
        <v>729</v>
      </c>
      <c r="B34" s="385">
        <v>100</v>
      </c>
      <c r="C34" s="561">
        <f t="shared" si="5"/>
        <v>0</v>
      </c>
      <c r="D34" s="562"/>
      <c r="E34" s="563"/>
      <c r="G34" s="398" t="s">
        <v>736</v>
      </c>
      <c r="H34" s="399">
        <v>0</v>
      </c>
      <c r="I34" s="571">
        <f t="shared" si="4"/>
        <v>0</v>
      </c>
      <c r="J34" s="571"/>
      <c r="K34" s="572"/>
    </row>
    <row r="35" spans="1:11" ht="15" thickBot="1">
      <c r="A35" s="387" t="s">
        <v>730</v>
      </c>
      <c r="B35" s="388">
        <v>0</v>
      </c>
      <c r="C35" s="566">
        <f t="shared" si="5"/>
        <v>0</v>
      </c>
      <c r="D35" s="573"/>
      <c r="E35" s="574"/>
      <c r="G35" s="374"/>
      <c r="H35" s="374">
        <f>SUM(H23:H34)</f>
        <v>100</v>
      </c>
      <c r="I35" s="374" t="s">
        <v>731</v>
      </c>
      <c r="J35" s="374"/>
      <c r="K35" s="374"/>
    </row>
    <row r="36" spans="1:11" ht="15" thickBot="1">
      <c r="A36" s="374"/>
      <c r="B36" s="374">
        <f>SUM(B23:B31)</f>
        <v>100</v>
      </c>
      <c r="C36" s="374" t="s">
        <v>731</v>
      </c>
      <c r="D36" s="374"/>
      <c r="E36" s="374"/>
      <c r="G36" s="374"/>
      <c r="H36" s="374"/>
      <c r="I36" s="374"/>
      <c r="J36" s="374"/>
      <c r="K36" s="374"/>
    </row>
    <row r="37" spans="1:11" ht="15" thickBot="1">
      <c r="A37" s="374"/>
      <c r="B37" s="374">
        <f>SUM(B32:B35)</f>
        <v>100</v>
      </c>
      <c r="C37" s="374" t="s">
        <v>731</v>
      </c>
      <c r="D37" s="374"/>
      <c r="E37" s="374"/>
      <c r="G37" s="389" t="s">
        <v>732</v>
      </c>
      <c r="H37" s="378">
        <v>25</v>
      </c>
      <c r="I37" s="390" t="s">
        <v>733</v>
      </c>
      <c r="J37" s="378">
        <v>110</v>
      </c>
      <c r="K37" s="392">
        <f>(J37-H37)*3.6</f>
        <v>306</v>
      </c>
    </row>
    <row r="38" spans="1:11">
      <c r="A38" s="377" t="s">
        <v>550</v>
      </c>
      <c r="B38" s="378">
        <v>0</v>
      </c>
      <c r="C38" s="379" t="s">
        <v>720</v>
      </c>
      <c r="D38" s="380">
        <v>39.36</v>
      </c>
      <c r="E38" s="381">
        <f>D38*B38</f>
        <v>0</v>
      </c>
      <c r="G38" s="393" t="s">
        <v>737</v>
      </c>
      <c r="H38" s="394">
        <v>0</v>
      </c>
      <c r="I38" s="395" t="s">
        <v>720</v>
      </c>
      <c r="J38" s="400">
        <v>3</v>
      </c>
      <c r="K38" s="397">
        <f>J38*H38</f>
        <v>0</v>
      </c>
    </row>
    <row r="39" spans="1:11" ht="22.5">
      <c r="A39" s="382" t="s">
        <v>721</v>
      </c>
      <c r="B39" s="383" t="s">
        <v>722</v>
      </c>
      <c r="C39" s="559" t="s">
        <v>723</v>
      </c>
      <c r="D39" s="559"/>
      <c r="E39" s="560"/>
      <c r="G39" s="382" t="s">
        <v>721</v>
      </c>
      <c r="H39" s="383" t="s">
        <v>722</v>
      </c>
      <c r="I39" s="559" t="s">
        <v>723</v>
      </c>
      <c r="J39" s="559"/>
      <c r="K39" s="560"/>
    </row>
    <row r="40" spans="1:11">
      <c r="A40" s="384" t="s">
        <v>560</v>
      </c>
      <c r="B40" s="385">
        <v>100</v>
      </c>
      <c r="C40" s="561">
        <f>913*B40/100*$B$38</f>
        <v>0</v>
      </c>
      <c r="D40" s="564"/>
      <c r="E40" s="565"/>
      <c r="G40" s="384" t="s">
        <v>560</v>
      </c>
      <c r="H40" s="385">
        <v>100</v>
      </c>
      <c r="I40" s="569">
        <f>$K$37*H40/100*$H$38</f>
        <v>0</v>
      </c>
      <c r="J40" s="569"/>
      <c r="K40" s="570"/>
    </row>
    <row r="41" spans="1:11">
      <c r="A41" s="384" t="s">
        <v>724</v>
      </c>
      <c r="B41" s="385">
        <v>0</v>
      </c>
      <c r="C41" s="561">
        <f t="shared" ref="C41:C49" si="6">913*B41/100*$B$38</f>
        <v>0</v>
      </c>
      <c r="D41" s="564"/>
      <c r="E41" s="565"/>
      <c r="G41" s="384" t="s">
        <v>724</v>
      </c>
      <c r="H41" s="385">
        <v>0</v>
      </c>
      <c r="I41" s="569">
        <f t="shared" ref="I41:I49" si="7">$K$37*H41/100*$H$38</f>
        <v>0</v>
      </c>
      <c r="J41" s="569"/>
      <c r="K41" s="570"/>
    </row>
    <row r="42" spans="1:11">
      <c r="A42" s="384" t="s">
        <v>558</v>
      </c>
      <c r="B42" s="385">
        <v>0</v>
      </c>
      <c r="C42" s="561">
        <f t="shared" si="6"/>
        <v>0</v>
      </c>
      <c r="D42" s="564"/>
      <c r="E42" s="565"/>
      <c r="G42" s="384" t="s">
        <v>558</v>
      </c>
      <c r="H42" s="385">
        <v>0</v>
      </c>
      <c r="I42" s="569">
        <f t="shared" si="7"/>
        <v>0</v>
      </c>
      <c r="J42" s="569"/>
      <c r="K42" s="570"/>
    </row>
    <row r="43" spans="1:11">
      <c r="A43" s="384" t="s">
        <v>567</v>
      </c>
      <c r="B43" s="385">
        <v>0</v>
      </c>
      <c r="C43" s="561">
        <f t="shared" si="6"/>
        <v>0</v>
      </c>
      <c r="D43" s="564"/>
      <c r="E43" s="565"/>
      <c r="G43" s="384" t="s">
        <v>567</v>
      </c>
      <c r="H43" s="385">
        <v>0</v>
      </c>
      <c r="I43" s="569">
        <f t="shared" si="7"/>
        <v>0</v>
      </c>
      <c r="J43" s="569"/>
      <c r="K43" s="570"/>
    </row>
    <row r="44" spans="1:11">
      <c r="A44" s="384" t="s">
        <v>566</v>
      </c>
      <c r="B44" s="385">
        <v>0</v>
      </c>
      <c r="C44" s="561">
        <f t="shared" si="6"/>
        <v>0</v>
      </c>
      <c r="D44" s="564"/>
      <c r="E44" s="565"/>
      <c r="G44" s="384" t="s">
        <v>566</v>
      </c>
      <c r="H44" s="385">
        <v>0</v>
      </c>
      <c r="I44" s="569">
        <f t="shared" si="7"/>
        <v>0</v>
      </c>
      <c r="J44" s="569"/>
      <c r="K44" s="570"/>
    </row>
    <row r="45" spans="1:11">
      <c r="A45" s="384" t="s">
        <v>557</v>
      </c>
      <c r="B45" s="385">
        <v>0</v>
      </c>
      <c r="C45" s="561">
        <f t="shared" si="6"/>
        <v>0</v>
      </c>
      <c r="D45" s="564"/>
      <c r="E45" s="565"/>
      <c r="G45" s="384" t="s">
        <v>557</v>
      </c>
      <c r="H45" s="385">
        <v>0</v>
      </c>
      <c r="I45" s="569">
        <f t="shared" si="7"/>
        <v>0</v>
      </c>
      <c r="J45" s="569"/>
      <c r="K45" s="570"/>
    </row>
    <row r="46" spans="1:11">
      <c r="A46" s="384" t="s">
        <v>561</v>
      </c>
      <c r="B46" s="385">
        <v>0</v>
      </c>
      <c r="C46" s="561">
        <f t="shared" si="6"/>
        <v>0</v>
      </c>
      <c r="D46" s="564"/>
      <c r="E46" s="565"/>
      <c r="G46" s="384" t="s">
        <v>561</v>
      </c>
      <c r="H46" s="385">
        <v>0</v>
      </c>
      <c r="I46" s="569">
        <f t="shared" si="7"/>
        <v>0</v>
      </c>
      <c r="J46" s="569"/>
      <c r="K46" s="570"/>
    </row>
    <row r="47" spans="1:11">
      <c r="A47" s="384" t="s">
        <v>563</v>
      </c>
      <c r="B47" s="385">
        <v>0</v>
      </c>
      <c r="C47" s="561">
        <f t="shared" si="6"/>
        <v>0</v>
      </c>
      <c r="D47" s="564"/>
      <c r="E47" s="565"/>
      <c r="G47" s="384" t="s">
        <v>563</v>
      </c>
      <c r="H47" s="385">
        <v>0</v>
      </c>
      <c r="I47" s="569">
        <f t="shared" si="7"/>
        <v>0</v>
      </c>
      <c r="J47" s="569"/>
      <c r="K47" s="570"/>
    </row>
    <row r="48" spans="1:11">
      <c r="A48" s="386"/>
      <c r="B48" s="385">
        <v>0</v>
      </c>
      <c r="C48" s="561">
        <f t="shared" si="6"/>
        <v>0</v>
      </c>
      <c r="D48" s="564"/>
      <c r="E48" s="565"/>
      <c r="G48" s="386"/>
      <c r="H48" s="385">
        <v>0</v>
      </c>
      <c r="I48" s="569">
        <f t="shared" si="7"/>
        <v>0</v>
      </c>
      <c r="J48" s="569"/>
      <c r="K48" s="570"/>
    </row>
    <row r="49" spans="1:11" ht="15" thickBot="1">
      <c r="A49" s="387" t="s">
        <v>736</v>
      </c>
      <c r="B49" s="388">
        <v>0</v>
      </c>
      <c r="C49" s="566">
        <f t="shared" si="6"/>
        <v>0</v>
      </c>
      <c r="D49" s="567"/>
      <c r="E49" s="568"/>
      <c r="G49" s="387" t="s">
        <v>736</v>
      </c>
      <c r="H49" s="388">
        <v>0</v>
      </c>
      <c r="I49" s="571">
        <f t="shared" si="7"/>
        <v>0</v>
      </c>
      <c r="J49" s="571"/>
      <c r="K49" s="572"/>
    </row>
    <row r="50" spans="1:11">
      <c r="A50" s="374"/>
      <c r="B50" s="374">
        <f>SUM(B40:B49)</f>
        <v>100</v>
      </c>
      <c r="C50" s="374" t="s">
        <v>731</v>
      </c>
      <c r="D50" s="374"/>
      <c r="E50" s="374"/>
      <c r="G50" s="401"/>
      <c r="H50" s="374">
        <f>SUM(H40:H49)</f>
        <v>100</v>
      </c>
      <c r="I50" s="374" t="s">
        <v>731</v>
      </c>
      <c r="J50" s="374"/>
      <c r="K50" s="374"/>
    </row>
    <row r="51" spans="1:11" ht="15" thickBot="1">
      <c r="A51" s="374"/>
      <c r="B51" s="374"/>
      <c r="C51" s="374"/>
      <c r="D51" s="374"/>
      <c r="E51" s="374"/>
      <c r="G51" s="374"/>
      <c r="H51" s="374"/>
      <c r="I51" s="374"/>
      <c r="J51" s="374"/>
      <c r="K51" s="374"/>
    </row>
    <row r="52" spans="1:11">
      <c r="A52" s="377" t="s">
        <v>548</v>
      </c>
      <c r="B52" s="378">
        <v>0</v>
      </c>
      <c r="C52" s="379" t="s">
        <v>720</v>
      </c>
      <c r="D52" s="402">
        <v>9.9600000000000009</v>
      </c>
      <c r="E52" s="381">
        <f>D52*B52</f>
        <v>0</v>
      </c>
      <c r="G52" s="377" t="s">
        <v>549</v>
      </c>
      <c r="H52" s="378">
        <v>0</v>
      </c>
      <c r="I52" s="379" t="s">
        <v>720</v>
      </c>
      <c r="J52" s="380">
        <v>3.66</v>
      </c>
      <c r="K52" s="381">
        <f>J52*H52</f>
        <v>0</v>
      </c>
    </row>
    <row r="53" spans="1:11" ht="22.5">
      <c r="A53" s="382" t="s">
        <v>721</v>
      </c>
      <c r="B53" s="383" t="s">
        <v>722</v>
      </c>
      <c r="C53" s="559" t="s">
        <v>723</v>
      </c>
      <c r="D53" s="559"/>
      <c r="E53" s="560"/>
      <c r="G53" s="382" t="s">
        <v>721</v>
      </c>
      <c r="H53" s="383" t="s">
        <v>722</v>
      </c>
      <c r="I53" s="559" t="s">
        <v>723</v>
      </c>
      <c r="J53" s="559"/>
      <c r="K53" s="560"/>
    </row>
    <row r="54" spans="1:11">
      <c r="A54" s="384" t="s">
        <v>560</v>
      </c>
      <c r="B54" s="385">
        <v>100</v>
      </c>
      <c r="C54" s="561">
        <f>110*B54/100*$B$52</f>
        <v>0</v>
      </c>
      <c r="D54" s="564"/>
      <c r="E54" s="565"/>
      <c r="G54" s="384" t="s">
        <v>560</v>
      </c>
      <c r="H54" s="385">
        <v>100</v>
      </c>
      <c r="I54" s="569">
        <f>30*H54/100*$H$52</f>
        <v>0</v>
      </c>
      <c r="J54" s="569"/>
      <c r="K54" s="570"/>
    </row>
    <row r="55" spans="1:11">
      <c r="A55" s="384" t="s">
        <v>724</v>
      </c>
      <c r="B55" s="385">
        <v>0</v>
      </c>
      <c r="C55" s="561">
        <f t="shared" ref="C55:C65" si="8">110*B55/100*$B$52</f>
        <v>0</v>
      </c>
      <c r="D55" s="564"/>
      <c r="E55" s="565"/>
      <c r="G55" s="384" t="s">
        <v>724</v>
      </c>
      <c r="H55" s="385">
        <v>0</v>
      </c>
      <c r="I55" s="569">
        <f t="shared" ref="I55:I65" si="9">30*H55/100*$H$52</f>
        <v>0</v>
      </c>
      <c r="J55" s="569"/>
      <c r="K55" s="570"/>
    </row>
    <row r="56" spans="1:11">
      <c r="A56" s="384" t="s">
        <v>558</v>
      </c>
      <c r="B56" s="385">
        <v>0</v>
      </c>
      <c r="C56" s="561">
        <f t="shared" si="8"/>
        <v>0</v>
      </c>
      <c r="D56" s="564"/>
      <c r="E56" s="565"/>
      <c r="G56" s="384" t="s">
        <v>558</v>
      </c>
      <c r="H56" s="385">
        <v>0</v>
      </c>
      <c r="I56" s="569">
        <f t="shared" si="9"/>
        <v>0</v>
      </c>
      <c r="J56" s="569"/>
      <c r="K56" s="570"/>
    </row>
    <row r="57" spans="1:11">
      <c r="A57" s="384" t="s">
        <v>567</v>
      </c>
      <c r="B57" s="385">
        <v>0</v>
      </c>
      <c r="C57" s="561">
        <f t="shared" si="8"/>
        <v>0</v>
      </c>
      <c r="D57" s="564"/>
      <c r="E57" s="565"/>
      <c r="G57" s="384" t="s">
        <v>567</v>
      </c>
      <c r="H57" s="385">
        <v>0</v>
      </c>
      <c r="I57" s="569">
        <f t="shared" si="9"/>
        <v>0</v>
      </c>
      <c r="J57" s="569"/>
      <c r="K57" s="570"/>
    </row>
    <row r="58" spans="1:11">
      <c r="A58" s="384" t="s">
        <v>566</v>
      </c>
      <c r="B58" s="385">
        <v>0</v>
      </c>
      <c r="C58" s="561">
        <f t="shared" si="8"/>
        <v>0</v>
      </c>
      <c r="D58" s="564"/>
      <c r="E58" s="565"/>
      <c r="G58" s="384" t="s">
        <v>566</v>
      </c>
      <c r="H58" s="385">
        <v>0</v>
      </c>
      <c r="I58" s="569">
        <f t="shared" si="9"/>
        <v>0</v>
      </c>
      <c r="J58" s="569"/>
      <c r="K58" s="570"/>
    </row>
    <row r="59" spans="1:11">
      <c r="A59" s="384" t="s">
        <v>557</v>
      </c>
      <c r="B59" s="385">
        <v>0</v>
      </c>
      <c r="C59" s="561">
        <f t="shared" si="8"/>
        <v>0</v>
      </c>
      <c r="D59" s="564"/>
      <c r="E59" s="565"/>
      <c r="G59" s="384" t="s">
        <v>557</v>
      </c>
      <c r="H59" s="385">
        <v>0</v>
      </c>
      <c r="I59" s="569">
        <f t="shared" si="9"/>
        <v>0</v>
      </c>
      <c r="J59" s="569"/>
      <c r="K59" s="570"/>
    </row>
    <row r="60" spans="1:11">
      <c r="A60" s="384" t="s">
        <v>561</v>
      </c>
      <c r="B60" s="385">
        <v>0</v>
      </c>
      <c r="C60" s="561">
        <f t="shared" si="8"/>
        <v>0</v>
      </c>
      <c r="D60" s="564"/>
      <c r="E60" s="565"/>
      <c r="G60" s="384" t="s">
        <v>561</v>
      </c>
      <c r="H60" s="385">
        <v>0</v>
      </c>
      <c r="I60" s="569">
        <f t="shared" si="9"/>
        <v>0</v>
      </c>
      <c r="J60" s="569"/>
      <c r="K60" s="570"/>
    </row>
    <row r="61" spans="1:11">
      <c r="A61" s="384" t="s">
        <v>563</v>
      </c>
      <c r="B61" s="385">
        <v>0</v>
      </c>
      <c r="C61" s="561">
        <f t="shared" si="8"/>
        <v>0</v>
      </c>
      <c r="D61" s="564"/>
      <c r="E61" s="565"/>
      <c r="G61" s="384" t="s">
        <v>563</v>
      </c>
      <c r="H61" s="385">
        <v>0</v>
      </c>
      <c r="I61" s="569">
        <f t="shared" si="9"/>
        <v>0</v>
      </c>
      <c r="J61" s="569"/>
      <c r="K61" s="570"/>
    </row>
    <row r="62" spans="1:11">
      <c r="A62" s="386"/>
      <c r="B62" s="385">
        <v>0</v>
      </c>
      <c r="C62" s="561">
        <f t="shared" si="8"/>
        <v>0</v>
      </c>
      <c r="D62" s="564"/>
      <c r="E62" s="565"/>
      <c r="G62" s="386"/>
      <c r="H62" s="385">
        <v>0</v>
      </c>
      <c r="I62" s="569">
        <f t="shared" si="9"/>
        <v>0</v>
      </c>
      <c r="J62" s="569"/>
      <c r="K62" s="570"/>
    </row>
    <row r="63" spans="1:11">
      <c r="A63" s="384" t="s">
        <v>735</v>
      </c>
      <c r="B63" s="385">
        <v>0</v>
      </c>
      <c r="C63" s="561">
        <f t="shared" si="8"/>
        <v>0</v>
      </c>
      <c r="D63" s="564"/>
      <c r="E63" s="565"/>
      <c r="G63" s="384" t="s">
        <v>735</v>
      </c>
      <c r="H63" s="385">
        <v>0</v>
      </c>
      <c r="I63" s="569">
        <f t="shared" si="9"/>
        <v>0</v>
      </c>
      <c r="J63" s="569"/>
      <c r="K63" s="570"/>
    </row>
    <row r="64" spans="1:11">
      <c r="A64" s="384" t="s">
        <v>729</v>
      </c>
      <c r="B64" s="385">
        <v>100</v>
      </c>
      <c r="C64" s="561">
        <f t="shared" si="8"/>
        <v>0</v>
      </c>
      <c r="D64" s="564"/>
      <c r="E64" s="565"/>
      <c r="G64" s="384" t="s">
        <v>729</v>
      </c>
      <c r="H64" s="385">
        <v>100</v>
      </c>
      <c r="I64" s="569">
        <f t="shared" si="9"/>
        <v>0</v>
      </c>
      <c r="J64" s="569"/>
      <c r="K64" s="570"/>
    </row>
    <row r="65" spans="1:11" ht="15" thickBot="1">
      <c r="A65" s="387" t="s">
        <v>730</v>
      </c>
      <c r="B65" s="388">
        <v>0</v>
      </c>
      <c r="C65" s="566">
        <f t="shared" si="8"/>
        <v>0</v>
      </c>
      <c r="D65" s="567"/>
      <c r="E65" s="568"/>
      <c r="G65" s="387" t="s">
        <v>730</v>
      </c>
      <c r="H65" s="388">
        <v>0</v>
      </c>
      <c r="I65" s="571">
        <f t="shared" si="9"/>
        <v>0</v>
      </c>
      <c r="J65" s="571"/>
      <c r="K65" s="572"/>
    </row>
    <row r="66" spans="1:11">
      <c r="A66" s="374"/>
      <c r="B66" s="374">
        <f>SUM(B54:B63)</f>
        <v>100</v>
      </c>
      <c r="C66" s="374" t="s">
        <v>731</v>
      </c>
      <c r="D66" s="374"/>
      <c r="E66" s="374"/>
      <c r="G66" s="374"/>
      <c r="H66" s="374">
        <f>SUM(H54:H63)</f>
        <v>100</v>
      </c>
      <c r="I66" s="374" t="s">
        <v>731</v>
      </c>
      <c r="J66" s="374"/>
      <c r="K66" s="374"/>
    </row>
    <row r="67" spans="1:11" ht="15" thickBot="1">
      <c r="A67" s="374"/>
      <c r="B67" s="374">
        <f>SUM(B64:B65)</f>
        <v>100</v>
      </c>
      <c r="C67" s="374" t="s">
        <v>731</v>
      </c>
      <c r="D67" s="374"/>
      <c r="E67" s="374"/>
      <c r="G67" s="374"/>
      <c r="H67" s="374">
        <f>SUM(H64:H65)</f>
        <v>100</v>
      </c>
      <c r="I67" s="374" t="s">
        <v>731</v>
      </c>
      <c r="J67" s="374"/>
      <c r="K67" s="374"/>
    </row>
    <row r="68" spans="1:11">
      <c r="A68" s="377" t="s">
        <v>553</v>
      </c>
      <c r="B68" s="378">
        <v>0</v>
      </c>
      <c r="C68" s="379" t="s">
        <v>720</v>
      </c>
      <c r="D68" s="402">
        <v>9.9600000000000009</v>
      </c>
      <c r="E68" s="381">
        <f>D68*B68</f>
        <v>0</v>
      </c>
      <c r="G68" s="377" t="s">
        <v>554</v>
      </c>
      <c r="H68" s="378">
        <v>0</v>
      </c>
      <c r="I68" s="379" t="s">
        <v>720</v>
      </c>
      <c r="J68" s="380">
        <v>1.53</v>
      </c>
      <c r="K68" s="381">
        <f>J68*H68</f>
        <v>0</v>
      </c>
    </row>
    <row r="69" spans="1:11" ht="22.5">
      <c r="A69" s="382" t="s">
        <v>721</v>
      </c>
      <c r="B69" s="383" t="s">
        <v>722</v>
      </c>
      <c r="C69" s="559" t="s">
        <v>723</v>
      </c>
      <c r="D69" s="559"/>
      <c r="E69" s="560"/>
      <c r="G69" s="382" t="s">
        <v>721</v>
      </c>
      <c r="H69" s="383" t="s">
        <v>722</v>
      </c>
      <c r="I69" s="559" t="s">
        <v>723</v>
      </c>
      <c r="J69" s="559"/>
      <c r="K69" s="560"/>
    </row>
    <row r="70" spans="1:11">
      <c r="A70" s="384" t="s">
        <v>560</v>
      </c>
      <c r="B70" s="385">
        <v>100</v>
      </c>
      <c r="C70" s="561">
        <f>110*B70/100*$B$68</f>
        <v>0</v>
      </c>
      <c r="D70" s="564"/>
      <c r="E70" s="565"/>
      <c r="G70" s="384" t="s">
        <v>560</v>
      </c>
      <c r="H70" s="385">
        <v>100</v>
      </c>
      <c r="I70" s="569">
        <f>30*H70/100*$H$68</f>
        <v>0</v>
      </c>
      <c r="J70" s="569"/>
      <c r="K70" s="570"/>
    </row>
    <row r="71" spans="1:11">
      <c r="A71" s="384" t="s">
        <v>724</v>
      </c>
      <c r="B71" s="385">
        <v>0</v>
      </c>
      <c r="C71" s="561">
        <f t="shared" ref="C71:C81" si="10">110*B71/100*$B$68</f>
        <v>0</v>
      </c>
      <c r="D71" s="564"/>
      <c r="E71" s="565"/>
      <c r="G71" s="384" t="s">
        <v>724</v>
      </c>
      <c r="H71" s="385">
        <v>0</v>
      </c>
      <c r="I71" s="569">
        <f t="shared" ref="I71:I81" si="11">30*H71/100*$H$68</f>
        <v>0</v>
      </c>
      <c r="J71" s="569"/>
      <c r="K71" s="570"/>
    </row>
    <row r="72" spans="1:11">
      <c r="A72" s="384" t="s">
        <v>558</v>
      </c>
      <c r="B72" s="385">
        <v>0</v>
      </c>
      <c r="C72" s="561">
        <f t="shared" si="10"/>
        <v>0</v>
      </c>
      <c r="D72" s="564"/>
      <c r="E72" s="565"/>
      <c r="G72" s="384" t="s">
        <v>558</v>
      </c>
      <c r="H72" s="385">
        <v>0</v>
      </c>
      <c r="I72" s="569">
        <f t="shared" si="11"/>
        <v>0</v>
      </c>
      <c r="J72" s="569"/>
      <c r="K72" s="570"/>
    </row>
    <row r="73" spans="1:11">
      <c r="A73" s="384" t="s">
        <v>567</v>
      </c>
      <c r="B73" s="385">
        <v>0</v>
      </c>
      <c r="C73" s="561">
        <f t="shared" si="10"/>
        <v>0</v>
      </c>
      <c r="D73" s="564"/>
      <c r="E73" s="565"/>
      <c r="G73" s="384" t="s">
        <v>567</v>
      </c>
      <c r="H73" s="385">
        <v>0</v>
      </c>
      <c r="I73" s="569">
        <f t="shared" si="11"/>
        <v>0</v>
      </c>
      <c r="J73" s="569"/>
      <c r="K73" s="570"/>
    </row>
    <row r="74" spans="1:11">
      <c r="A74" s="384" t="s">
        <v>566</v>
      </c>
      <c r="B74" s="385">
        <v>0</v>
      </c>
      <c r="C74" s="561">
        <f t="shared" si="10"/>
        <v>0</v>
      </c>
      <c r="D74" s="564"/>
      <c r="E74" s="565"/>
      <c r="G74" s="384" t="s">
        <v>566</v>
      </c>
      <c r="H74" s="385">
        <v>0</v>
      </c>
      <c r="I74" s="569">
        <f t="shared" si="11"/>
        <v>0</v>
      </c>
      <c r="J74" s="569"/>
      <c r="K74" s="570"/>
    </row>
    <row r="75" spans="1:11">
      <c r="A75" s="384" t="s">
        <v>557</v>
      </c>
      <c r="B75" s="385">
        <v>0</v>
      </c>
      <c r="C75" s="561">
        <f t="shared" si="10"/>
        <v>0</v>
      </c>
      <c r="D75" s="564"/>
      <c r="E75" s="565"/>
      <c r="G75" s="384" t="s">
        <v>557</v>
      </c>
      <c r="H75" s="385">
        <v>0</v>
      </c>
      <c r="I75" s="569">
        <f t="shared" si="11"/>
        <v>0</v>
      </c>
      <c r="J75" s="569"/>
      <c r="K75" s="570"/>
    </row>
    <row r="76" spans="1:11">
      <c r="A76" s="384" t="s">
        <v>561</v>
      </c>
      <c r="B76" s="385">
        <v>0</v>
      </c>
      <c r="C76" s="561">
        <f t="shared" si="10"/>
        <v>0</v>
      </c>
      <c r="D76" s="564"/>
      <c r="E76" s="565"/>
      <c r="G76" s="384" t="s">
        <v>561</v>
      </c>
      <c r="H76" s="385">
        <v>0</v>
      </c>
      <c r="I76" s="569">
        <f t="shared" si="11"/>
        <v>0</v>
      </c>
      <c r="J76" s="569"/>
      <c r="K76" s="570"/>
    </row>
    <row r="77" spans="1:11">
      <c r="A77" s="384" t="s">
        <v>563</v>
      </c>
      <c r="B77" s="385">
        <v>0</v>
      </c>
      <c r="C77" s="561">
        <f t="shared" si="10"/>
        <v>0</v>
      </c>
      <c r="D77" s="564"/>
      <c r="E77" s="565"/>
      <c r="G77" s="384" t="s">
        <v>563</v>
      </c>
      <c r="H77" s="385">
        <v>0</v>
      </c>
      <c r="I77" s="569">
        <f t="shared" si="11"/>
        <v>0</v>
      </c>
      <c r="J77" s="569"/>
      <c r="K77" s="570"/>
    </row>
    <row r="78" spans="1:11">
      <c r="A78" s="386"/>
      <c r="B78" s="385">
        <v>0</v>
      </c>
      <c r="C78" s="561">
        <f t="shared" si="10"/>
        <v>0</v>
      </c>
      <c r="D78" s="564"/>
      <c r="E78" s="565"/>
      <c r="G78" s="386"/>
      <c r="H78" s="385">
        <v>0</v>
      </c>
      <c r="I78" s="569">
        <f t="shared" si="11"/>
        <v>0</v>
      </c>
      <c r="J78" s="569"/>
      <c r="K78" s="570"/>
    </row>
    <row r="79" spans="1:11">
      <c r="A79" s="384" t="s">
        <v>735</v>
      </c>
      <c r="B79" s="385">
        <v>0</v>
      </c>
      <c r="C79" s="561">
        <f t="shared" si="10"/>
        <v>0</v>
      </c>
      <c r="D79" s="564"/>
      <c r="E79" s="565"/>
      <c r="G79" s="384" t="s">
        <v>735</v>
      </c>
      <c r="H79" s="385">
        <v>0</v>
      </c>
      <c r="I79" s="569">
        <f t="shared" si="11"/>
        <v>0</v>
      </c>
      <c r="J79" s="569"/>
      <c r="K79" s="570"/>
    </row>
    <row r="80" spans="1:11">
      <c r="A80" s="384" t="s">
        <v>729</v>
      </c>
      <c r="B80" s="385">
        <v>100</v>
      </c>
      <c r="C80" s="561">
        <f t="shared" si="10"/>
        <v>0</v>
      </c>
      <c r="D80" s="564"/>
      <c r="E80" s="565"/>
      <c r="G80" s="384" t="s">
        <v>729</v>
      </c>
      <c r="H80" s="385">
        <v>100</v>
      </c>
      <c r="I80" s="569">
        <f t="shared" si="11"/>
        <v>0</v>
      </c>
      <c r="J80" s="569"/>
      <c r="K80" s="570"/>
    </row>
    <row r="81" spans="1:11" ht="15" thickBot="1">
      <c r="A81" s="387" t="s">
        <v>730</v>
      </c>
      <c r="B81" s="388">
        <v>0</v>
      </c>
      <c r="C81" s="566">
        <f t="shared" si="10"/>
        <v>0</v>
      </c>
      <c r="D81" s="567"/>
      <c r="E81" s="568"/>
      <c r="G81" s="387" t="s">
        <v>730</v>
      </c>
      <c r="H81" s="388">
        <v>0</v>
      </c>
      <c r="I81" s="571">
        <f t="shared" si="11"/>
        <v>0</v>
      </c>
      <c r="J81" s="571"/>
      <c r="K81" s="572"/>
    </row>
    <row r="82" spans="1:11" ht="15" thickBot="1">
      <c r="A82" s="374"/>
      <c r="B82" s="374">
        <f>SUM(B70:B79)</f>
        <v>100</v>
      </c>
      <c r="C82" s="374" t="s">
        <v>731</v>
      </c>
      <c r="D82" s="374"/>
      <c r="E82" s="374"/>
      <c r="G82" s="374"/>
      <c r="H82" s="374">
        <f>SUM(H70:H79)</f>
        <v>100</v>
      </c>
      <c r="I82" s="374" t="s">
        <v>731</v>
      </c>
      <c r="J82" s="374"/>
      <c r="K82" s="374"/>
    </row>
    <row r="83" spans="1:11" ht="15" thickBot="1">
      <c r="A83" s="374"/>
      <c r="B83" s="374">
        <f>SUM(B80:B81)</f>
        <v>100</v>
      </c>
      <c r="C83" s="374" t="s">
        <v>731</v>
      </c>
      <c r="D83" s="374"/>
      <c r="E83" s="374"/>
      <c r="G83" s="374"/>
      <c r="H83" s="374">
        <f>SUM(H80:H81)</f>
        <v>100</v>
      </c>
      <c r="I83" s="403" t="s">
        <v>733</v>
      </c>
      <c r="J83" s="404">
        <v>2.5</v>
      </c>
      <c r="K83" s="405">
        <f>J83*2.5</f>
        <v>6.25</v>
      </c>
    </row>
    <row r="84" spans="1:11">
      <c r="A84" s="377" t="s">
        <v>555</v>
      </c>
      <c r="B84" s="378">
        <v>0</v>
      </c>
      <c r="C84" s="379" t="s">
        <v>720</v>
      </c>
      <c r="D84" s="402">
        <v>0.04</v>
      </c>
      <c r="E84" s="381">
        <f>D84*B84</f>
        <v>0</v>
      </c>
      <c r="G84" s="377" t="s">
        <v>738</v>
      </c>
      <c r="H84" s="378">
        <v>0</v>
      </c>
      <c r="I84" s="379" t="s">
        <v>720</v>
      </c>
      <c r="J84" s="380">
        <v>0.05</v>
      </c>
      <c r="K84" s="381">
        <f>J84*H84</f>
        <v>0</v>
      </c>
    </row>
    <row r="85" spans="1:11" ht="22.5">
      <c r="A85" s="382" t="s">
        <v>721</v>
      </c>
      <c r="B85" s="383" t="s">
        <v>722</v>
      </c>
      <c r="C85" s="559" t="s">
        <v>723</v>
      </c>
      <c r="D85" s="559"/>
      <c r="E85" s="560"/>
      <c r="G85" s="382" t="s">
        <v>721</v>
      </c>
      <c r="H85" s="383" t="s">
        <v>722</v>
      </c>
      <c r="I85" s="559" t="s">
        <v>723</v>
      </c>
      <c r="J85" s="559"/>
      <c r="K85" s="560"/>
    </row>
    <row r="86" spans="1:11">
      <c r="A86" s="384" t="s">
        <v>560</v>
      </c>
      <c r="B86" s="385">
        <v>100</v>
      </c>
      <c r="C86" s="561">
        <f>46*B86/100*$B$84</f>
        <v>0</v>
      </c>
      <c r="D86" s="564"/>
      <c r="E86" s="565"/>
      <c r="G86" s="384" t="s">
        <v>560</v>
      </c>
      <c r="H86" s="385">
        <v>100</v>
      </c>
      <c r="I86" s="569">
        <f>$K$83*H86/100*$H$84</f>
        <v>0</v>
      </c>
      <c r="J86" s="569"/>
      <c r="K86" s="570"/>
    </row>
    <row r="87" spans="1:11">
      <c r="A87" s="384" t="s">
        <v>724</v>
      </c>
      <c r="B87" s="385">
        <v>0</v>
      </c>
      <c r="C87" s="561">
        <f t="shared" ref="C87:C92" si="12">46*B87/100*$B$84</f>
        <v>0</v>
      </c>
      <c r="D87" s="564"/>
      <c r="E87" s="565"/>
      <c r="G87" s="384" t="s">
        <v>724</v>
      </c>
      <c r="H87" s="385">
        <v>0</v>
      </c>
      <c r="I87" s="569">
        <f t="shared" ref="I87:I92" si="13">$K$83*H87/100*$H$84</f>
        <v>0</v>
      </c>
      <c r="J87" s="569"/>
      <c r="K87" s="570"/>
    </row>
    <row r="88" spans="1:11">
      <c r="A88" s="384" t="s">
        <v>558</v>
      </c>
      <c r="B88" s="385">
        <v>0</v>
      </c>
      <c r="C88" s="561">
        <f t="shared" si="12"/>
        <v>0</v>
      </c>
      <c r="D88" s="564"/>
      <c r="E88" s="565"/>
      <c r="G88" s="384" t="s">
        <v>558</v>
      </c>
      <c r="H88" s="385">
        <v>0</v>
      </c>
      <c r="I88" s="569">
        <f t="shared" si="13"/>
        <v>0</v>
      </c>
      <c r="J88" s="569"/>
      <c r="K88" s="570"/>
    </row>
    <row r="89" spans="1:11">
      <c r="A89" s="384" t="s">
        <v>567</v>
      </c>
      <c r="B89" s="385">
        <v>0</v>
      </c>
      <c r="C89" s="561">
        <f t="shared" si="12"/>
        <v>0</v>
      </c>
      <c r="D89" s="564"/>
      <c r="E89" s="565"/>
      <c r="G89" s="384" t="s">
        <v>567</v>
      </c>
      <c r="H89" s="385">
        <v>0</v>
      </c>
      <c r="I89" s="569">
        <f t="shared" si="13"/>
        <v>0</v>
      </c>
      <c r="J89" s="569"/>
      <c r="K89" s="570"/>
    </row>
    <row r="90" spans="1:11">
      <c r="A90" s="384" t="s">
        <v>566</v>
      </c>
      <c r="B90" s="385">
        <v>0</v>
      </c>
      <c r="C90" s="561">
        <f t="shared" si="12"/>
        <v>0</v>
      </c>
      <c r="D90" s="564"/>
      <c r="E90" s="565"/>
      <c r="G90" s="384" t="s">
        <v>566</v>
      </c>
      <c r="H90" s="385">
        <v>0</v>
      </c>
      <c r="I90" s="569">
        <f t="shared" si="13"/>
        <v>0</v>
      </c>
      <c r="J90" s="569"/>
      <c r="K90" s="570"/>
    </row>
    <row r="91" spans="1:11">
      <c r="A91" s="384" t="s">
        <v>557</v>
      </c>
      <c r="B91" s="385">
        <v>0</v>
      </c>
      <c r="C91" s="561">
        <f t="shared" si="12"/>
        <v>0</v>
      </c>
      <c r="D91" s="564"/>
      <c r="E91" s="565"/>
      <c r="G91" s="384" t="s">
        <v>557</v>
      </c>
      <c r="H91" s="385">
        <v>0</v>
      </c>
      <c r="I91" s="569">
        <f t="shared" si="13"/>
        <v>0</v>
      </c>
      <c r="J91" s="569"/>
      <c r="K91" s="570"/>
    </row>
    <row r="92" spans="1:11" ht="15" thickBot="1">
      <c r="A92" s="387" t="s">
        <v>739</v>
      </c>
      <c r="B92" s="388">
        <v>0</v>
      </c>
      <c r="C92" s="566">
        <f t="shared" si="12"/>
        <v>0</v>
      </c>
      <c r="D92" s="567"/>
      <c r="E92" s="568"/>
      <c r="G92" s="387" t="s">
        <v>739</v>
      </c>
      <c r="H92" s="388">
        <v>0</v>
      </c>
      <c r="I92" s="571">
        <f t="shared" si="13"/>
        <v>0</v>
      </c>
      <c r="J92" s="571"/>
      <c r="K92" s="572"/>
    </row>
    <row r="93" spans="1:11">
      <c r="A93" s="374"/>
      <c r="B93" s="374">
        <f>SUM(B86:B92)</f>
        <v>100</v>
      </c>
      <c r="C93" s="374" t="s">
        <v>731</v>
      </c>
      <c r="D93" s="374"/>
      <c r="E93" s="374"/>
      <c r="F93" s="406"/>
      <c r="G93" s="374"/>
      <c r="H93" s="374">
        <f>SUM(H86:H92)</f>
        <v>100</v>
      </c>
      <c r="I93" s="374" t="s">
        <v>731</v>
      </c>
      <c r="J93" s="374"/>
      <c r="K93" s="374"/>
    </row>
    <row r="94" spans="1:11" ht="15" thickBot="1">
      <c r="A94" s="374"/>
      <c r="B94" s="374"/>
      <c r="C94" s="374"/>
      <c r="D94" s="374"/>
      <c r="E94" s="374"/>
      <c r="F94" s="406"/>
      <c r="G94" s="374"/>
      <c r="H94" s="374"/>
      <c r="I94" s="374"/>
      <c r="J94" s="374"/>
      <c r="K94" s="374"/>
    </row>
    <row r="95" spans="1:11" ht="39" thickBot="1">
      <c r="A95" s="575" t="s">
        <v>556</v>
      </c>
      <c r="B95" s="576"/>
      <c r="C95" s="407" t="s">
        <v>740</v>
      </c>
      <c r="D95" s="407" t="s">
        <v>741</v>
      </c>
      <c r="E95" s="407" t="s">
        <v>742</v>
      </c>
      <c r="F95" s="408" t="s">
        <v>743</v>
      </c>
      <c r="G95" s="407" t="s">
        <v>744</v>
      </c>
      <c r="H95" s="407" t="s">
        <v>745</v>
      </c>
      <c r="I95" s="407" t="s">
        <v>746</v>
      </c>
      <c r="J95" s="407" t="s">
        <v>747</v>
      </c>
      <c r="K95" s="409" t="s">
        <v>748</v>
      </c>
    </row>
    <row r="96" spans="1:11">
      <c r="A96" s="577" t="s">
        <v>560</v>
      </c>
      <c r="B96" s="578"/>
      <c r="C96" s="410">
        <f>'[1]Fin. rezime i novčani tokovi'!B8</f>
        <v>0</v>
      </c>
      <c r="D96" s="411">
        <f>'[1]Fin. rezime i novčani tokovi'!E8</f>
        <v>0</v>
      </c>
      <c r="E96" s="412">
        <f>C96*D96</f>
        <v>0</v>
      </c>
      <c r="F96" s="412">
        <f t="shared" ref="F96:F98" si="14">C4+I4+I23+C23+C40+I40+C54+I54+C70+I70+C86+I86</f>
        <v>0</v>
      </c>
      <c r="G96" s="412">
        <f>E96-J96-F96</f>
        <v>0</v>
      </c>
      <c r="H96" s="413">
        <v>0</v>
      </c>
      <c r="I96" s="414">
        <f>IF(G96&gt;0,0,ABS(G96)*H96)</f>
        <v>0</v>
      </c>
      <c r="J96" s="415">
        <v>0</v>
      </c>
      <c r="K96" s="416" t="e">
        <f>G96/D96</f>
        <v>#DIV/0!</v>
      </c>
    </row>
    <row r="97" spans="1:11">
      <c r="A97" s="579" t="s">
        <v>724</v>
      </c>
      <c r="B97" s="580"/>
      <c r="C97" s="417">
        <f>'[1]Fin. rezime i novčani tokovi'!B7</f>
        <v>0</v>
      </c>
      <c r="D97" s="418">
        <f>'[1]Fin. rezime i novčani tokovi'!E7</f>
        <v>0</v>
      </c>
      <c r="E97" s="419">
        <f>C97*D97</f>
        <v>0</v>
      </c>
      <c r="F97" s="419">
        <f t="shared" si="14"/>
        <v>0</v>
      </c>
      <c r="G97" s="419">
        <f t="shared" ref="G97:G108" si="15">E97-J97-F97</f>
        <v>0</v>
      </c>
      <c r="H97" s="420">
        <v>0</v>
      </c>
      <c r="I97" s="421">
        <f>IF(G97&gt;0,0,ABS(G97)*H97)</f>
        <v>0</v>
      </c>
      <c r="J97" s="422">
        <v>0</v>
      </c>
      <c r="K97" s="423" t="e">
        <f t="shared" ref="K97:K108" si="16">G97/D97</f>
        <v>#DIV/0!</v>
      </c>
    </row>
    <row r="98" spans="1:11">
      <c r="A98" s="579" t="s">
        <v>558</v>
      </c>
      <c r="B98" s="580"/>
      <c r="C98" s="424">
        <f>'[1]Fin. rezime i novčani tokovi'!B6</f>
        <v>0</v>
      </c>
      <c r="D98" s="418">
        <f>'[1]Fin. rezime i novčani tokovi'!E6</f>
        <v>0</v>
      </c>
      <c r="E98" s="419">
        <f>C98*D98</f>
        <v>0</v>
      </c>
      <c r="F98" s="419">
        <f t="shared" si="14"/>
        <v>0</v>
      </c>
      <c r="G98" s="419">
        <f t="shared" si="15"/>
        <v>0</v>
      </c>
      <c r="H98" s="420">
        <v>0</v>
      </c>
      <c r="I98" s="421">
        <f>IF(G98&gt;0,0,ABS(G98)*H98)</f>
        <v>0</v>
      </c>
      <c r="J98" s="422">
        <v>0</v>
      </c>
      <c r="K98" s="423" t="e">
        <f t="shared" si="16"/>
        <v>#DIV/0!</v>
      </c>
    </row>
    <row r="99" spans="1:11">
      <c r="A99" s="579" t="s">
        <v>567</v>
      </c>
      <c r="B99" s="580"/>
      <c r="C99" s="424">
        <f>'[1]Fin. rezime i novčani tokovi'!B16</f>
        <v>0</v>
      </c>
      <c r="D99" s="418">
        <f>'[1]Fin. rezime i novčani tokovi'!E16</f>
        <v>0</v>
      </c>
      <c r="E99" s="419">
        <f>C99*D99</f>
        <v>0</v>
      </c>
      <c r="F99" s="419">
        <f>C7+I7+I26+C26+C43+I43+C57+I57+C73+I73+C89+I89</f>
        <v>0</v>
      </c>
      <c r="G99" s="419">
        <f t="shared" si="15"/>
        <v>0</v>
      </c>
      <c r="H99" s="420">
        <v>0</v>
      </c>
      <c r="I99" s="421">
        <f>IF(G99&gt;0,0,ABS(G99)*H99)</f>
        <v>0</v>
      </c>
      <c r="J99" s="422">
        <v>0</v>
      </c>
      <c r="K99" s="423" t="e">
        <f t="shared" si="16"/>
        <v>#DIV/0!</v>
      </c>
    </row>
    <row r="100" spans="1:11">
      <c r="A100" s="579" t="s">
        <v>566</v>
      </c>
      <c r="B100" s="580"/>
      <c r="C100" s="424">
        <f>'[1]Fin. rezime i novčani tokovi'!B15</f>
        <v>0</v>
      </c>
      <c r="D100" s="418">
        <f>'[1]Fin. rezime i novčani tokovi'!E15</f>
        <v>0</v>
      </c>
      <c r="E100" s="419">
        <f>C100*D100</f>
        <v>0</v>
      </c>
      <c r="F100" s="419">
        <f>C8+I8+I27+C27+C44+I44+C58+I58+C74+I74+C90+I90</f>
        <v>0</v>
      </c>
      <c r="G100" s="419">
        <f t="shared" si="15"/>
        <v>0</v>
      </c>
      <c r="H100" s="420">
        <v>0</v>
      </c>
      <c r="I100" s="421">
        <f t="shared" ref="I100:I108" si="17">IF(G100&gt;0,0,ABS(G100)*H100)</f>
        <v>0</v>
      </c>
      <c r="J100" s="422">
        <v>0</v>
      </c>
      <c r="K100" s="423" t="e">
        <f t="shared" si="16"/>
        <v>#DIV/0!</v>
      </c>
    </row>
    <row r="101" spans="1:11">
      <c r="A101" s="589" t="s">
        <v>557</v>
      </c>
      <c r="B101" s="590"/>
      <c r="C101" s="424">
        <f>'[1]Fin. rezime i novčani tokovi'!B5</f>
        <v>0</v>
      </c>
      <c r="D101" s="418">
        <f>'[1]Fin. rezime i novčani tokovi'!E5</f>
        <v>0</v>
      </c>
      <c r="E101" s="419">
        <f t="shared" ref="E101:E108" si="18">+C101*D101</f>
        <v>0</v>
      </c>
      <c r="F101" s="419">
        <f>C9+I9+I28+C28+C45+I45+C59+I59+C75+I75+C91+I91</f>
        <v>0</v>
      </c>
      <c r="G101" s="419">
        <f t="shared" si="15"/>
        <v>0</v>
      </c>
      <c r="H101" s="420">
        <v>0</v>
      </c>
      <c r="I101" s="421">
        <f t="shared" si="17"/>
        <v>0</v>
      </c>
      <c r="J101" s="422">
        <v>0</v>
      </c>
      <c r="K101" s="423" t="e">
        <f t="shared" si="16"/>
        <v>#DIV/0!</v>
      </c>
    </row>
    <row r="102" spans="1:11">
      <c r="A102" s="589" t="s">
        <v>561</v>
      </c>
      <c r="B102" s="590"/>
      <c r="C102" s="424">
        <f>'[1]Fin. rezime i novčani tokovi'!B10</f>
        <v>0</v>
      </c>
      <c r="D102" s="418">
        <f>'[1]Fin. rezime i novčani tokovi'!E10</f>
        <v>0</v>
      </c>
      <c r="E102" s="419">
        <f t="shared" si="18"/>
        <v>0</v>
      </c>
      <c r="F102" s="419">
        <f>C10+I10+C29+I29+C46+I46+C60+I60+C76+I76</f>
        <v>0</v>
      </c>
      <c r="G102" s="419">
        <f t="shared" si="15"/>
        <v>0</v>
      </c>
      <c r="H102" s="425">
        <v>0</v>
      </c>
      <c r="I102" s="421">
        <f t="shared" si="17"/>
        <v>0</v>
      </c>
      <c r="J102" s="422">
        <v>0</v>
      </c>
      <c r="K102" s="423" t="e">
        <f t="shared" si="16"/>
        <v>#DIV/0!</v>
      </c>
    </row>
    <row r="103" spans="1:11">
      <c r="A103" s="589" t="s">
        <v>563</v>
      </c>
      <c r="B103" s="590"/>
      <c r="C103" s="424">
        <f>'[1]Fin. rezime i novčani tokovi'!B12</f>
        <v>0</v>
      </c>
      <c r="D103" s="418">
        <f>'[1]Fin. rezime i novčani tokovi'!E12</f>
        <v>0</v>
      </c>
      <c r="E103" s="419">
        <f t="shared" si="18"/>
        <v>0</v>
      </c>
      <c r="F103" s="419">
        <f>C11+I11+C30+I30+C47+I47+C61+I61+C77+I77</f>
        <v>0</v>
      </c>
      <c r="G103" s="419">
        <f t="shared" si="15"/>
        <v>0</v>
      </c>
      <c r="H103" s="420">
        <v>0</v>
      </c>
      <c r="I103" s="421">
        <f t="shared" si="17"/>
        <v>0</v>
      </c>
      <c r="J103" s="422">
        <v>0</v>
      </c>
      <c r="K103" s="423" t="e">
        <f t="shared" si="16"/>
        <v>#DIV/0!</v>
      </c>
    </row>
    <row r="104" spans="1:11">
      <c r="A104" s="591"/>
      <c r="B104" s="592"/>
      <c r="C104" s="422">
        <v>0</v>
      </c>
      <c r="D104" s="426">
        <v>0</v>
      </c>
      <c r="E104" s="419">
        <f t="shared" si="18"/>
        <v>0</v>
      </c>
      <c r="F104" s="419">
        <f>C12+I12+I31+C48+I48+C62+I62+C78+I78</f>
        <v>0</v>
      </c>
      <c r="G104" s="419">
        <f t="shared" si="15"/>
        <v>0</v>
      </c>
      <c r="H104" s="420">
        <v>0</v>
      </c>
      <c r="I104" s="421">
        <f t="shared" si="17"/>
        <v>0</v>
      </c>
      <c r="J104" s="422">
        <v>0</v>
      </c>
      <c r="K104" s="423" t="e">
        <f t="shared" si="16"/>
        <v>#DIV/0!</v>
      </c>
    </row>
    <row r="105" spans="1:11">
      <c r="A105" s="579" t="s">
        <v>728</v>
      </c>
      <c r="B105" s="580"/>
      <c r="C105" s="422">
        <v>0</v>
      </c>
      <c r="D105" s="426">
        <v>0</v>
      </c>
      <c r="E105" s="419">
        <f t="shared" si="18"/>
        <v>0</v>
      </c>
      <c r="F105" s="419">
        <f>C15+I15+C33</f>
        <v>0</v>
      </c>
      <c r="G105" s="419">
        <f t="shared" si="15"/>
        <v>0</v>
      </c>
      <c r="H105" s="420">
        <v>0</v>
      </c>
      <c r="I105" s="421">
        <f t="shared" si="17"/>
        <v>0</v>
      </c>
      <c r="J105" s="422">
        <v>0</v>
      </c>
      <c r="K105" s="423" t="e">
        <f t="shared" si="16"/>
        <v>#DIV/0!</v>
      </c>
    </row>
    <row r="106" spans="1:11">
      <c r="A106" s="579" t="s">
        <v>532</v>
      </c>
      <c r="B106" s="580"/>
      <c r="C106" s="424">
        <f>'[1]Fin. rezime i novčani tokovi'!B9</f>
        <v>0</v>
      </c>
      <c r="D106" s="418">
        <f>'[1]Fin. rezime i novčani tokovi'!E9</f>
        <v>0</v>
      </c>
      <c r="E106" s="419">
        <f>+C106*D106</f>
        <v>0</v>
      </c>
      <c r="F106" s="419">
        <f>C14+I14+C32</f>
        <v>0</v>
      </c>
      <c r="G106" s="419">
        <f t="shared" si="15"/>
        <v>0</v>
      </c>
      <c r="H106" s="420">
        <v>0</v>
      </c>
      <c r="I106" s="421">
        <f t="shared" si="17"/>
        <v>0</v>
      </c>
      <c r="J106" s="422">
        <v>0</v>
      </c>
      <c r="K106" s="423" t="e">
        <f t="shared" si="16"/>
        <v>#DIV/0!</v>
      </c>
    </row>
    <row r="107" spans="1:11">
      <c r="A107" s="579" t="s">
        <v>729</v>
      </c>
      <c r="B107" s="580"/>
      <c r="C107" s="424">
        <f>'[1]Fin. rezime i novčani tokovi'!B14</f>
        <v>0</v>
      </c>
      <c r="D107" s="418">
        <f>'[1]Fin. rezime i novčani tokovi'!E14</f>
        <v>0</v>
      </c>
      <c r="E107" s="419">
        <f>+C107*D107</f>
        <v>0</v>
      </c>
      <c r="F107" s="419">
        <f>+C16+I16+C34+C64+I64+C80+I80</f>
        <v>0</v>
      </c>
      <c r="G107" s="419">
        <f t="shared" si="15"/>
        <v>0</v>
      </c>
      <c r="H107" s="420">
        <v>0</v>
      </c>
      <c r="I107" s="421">
        <f>IF(G107&gt;0,0,ABS(G107)*H107)</f>
        <v>0</v>
      </c>
      <c r="J107" s="422">
        <v>0</v>
      </c>
      <c r="K107" s="423" t="e">
        <f t="shared" si="16"/>
        <v>#DIV/0!</v>
      </c>
    </row>
    <row r="108" spans="1:11" ht="15" thickBot="1">
      <c r="A108" s="581" t="s">
        <v>730</v>
      </c>
      <c r="B108" s="582"/>
      <c r="C108" s="427">
        <f>'[1]Fin. rezime i novčani tokovi'!B19</f>
        <v>0</v>
      </c>
      <c r="D108" s="428">
        <f>'[1]Fin. rezime i novčani tokovi'!E19</f>
        <v>0</v>
      </c>
      <c r="E108" s="429">
        <f t="shared" si="18"/>
        <v>0</v>
      </c>
      <c r="F108" s="429">
        <f>+C17+I17+C35+C65+I65+C81+I81</f>
        <v>0</v>
      </c>
      <c r="G108" s="429">
        <f t="shared" si="15"/>
        <v>0</v>
      </c>
      <c r="H108" s="430">
        <v>0</v>
      </c>
      <c r="I108" s="431">
        <f t="shared" si="17"/>
        <v>0</v>
      </c>
      <c r="J108" s="432">
        <v>0</v>
      </c>
      <c r="K108" s="433" t="e">
        <f t="shared" si="16"/>
        <v>#DIV/0!</v>
      </c>
    </row>
    <row r="109" spans="1:11">
      <c r="A109" s="583" t="s">
        <v>735</v>
      </c>
      <c r="B109" s="584"/>
      <c r="C109" s="584"/>
      <c r="D109" s="584"/>
      <c r="E109" s="585"/>
      <c r="F109" s="434">
        <f>C13+I13+C31+C63+I63+C79+I79</f>
        <v>0</v>
      </c>
      <c r="G109" s="586"/>
      <c r="H109" s="435">
        <v>0</v>
      </c>
      <c r="I109" s="436">
        <f>F109*H109</f>
        <v>0</v>
      </c>
      <c r="J109" s="586"/>
      <c r="K109" s="598"/>
    </row>
    <row r="110" spans="1:11">
      <c r="A110" s="601" t="s">
        <v>736</v>
      </c>
      <c r="B110" s="602"/>
      <c r="C110" s="602"/>
      <c r="D110" s="602"/>
      <c r="E110" s="603"/>
      <c r="F110" s="437">
        <f>I34+C49+I49</f>
        <v>0</v>
      </c>
      <c r="G110" s="587"/>
      <c r="H110" s="420">
        <v>0</v>
      </c>
      <c r="I110" s="421">
        <f>F110*H110</f>
        <v>0</v>
      </c>
      <c r="J110" s="587"/>
      <c r="K110" s="599"/>
    </row>
    <row r="111" spans="1:11" ht="15" thickBot="1">
      <c r="A111" s="604" t="s">
        <v>749</v>
      </c>
      <c r="B111" s="605"/>
      <c r="C111" s="605"/>
      <c r="D111" s="605"/>
      <c r="E111" s="606"/>
      <c r="F111" s="438">
        <f>C92+I92</f>
        <v>0</v>
      </c>
      <c r="G111" s="588"/>
      <c r="H111" s="430">
        <v>0</v>
      </c>
      <c r="I111" s="431">
        <f>F111*H111</f>
        <v>0</v>
      </c>
      <c r="J111" s="588"/>
      <c r="K111" s="600"/>
    </row>
    <row r="112" spans="1:11" ht="15.75" thickBot="1">
      <c r="A112" s="607" t="s">
        <v>750</v>
      </c>
      <c r="B112" s="608"/>
      <c r="C112" s="439" t="s">
        <v>751</v>
      </c>
      <c r="D112" s="439" t="s">
        <v>752</v>
      </c>
      <c r="E112" s="440" t="s">
        <v>277</v>
      </c>
    </row>
    <row r="113" spans="1:10" ht="15" thickBot="1">
      <c r="A113" s="609"/>
      <c r="B113" s="610"/>
      <c r="C113" s="441">
        <v>0</v>
      </c>
      <c r="D113" s="442">
        <v>0</v>
      </c>
      <c r="E113" s="443">
        <f>C113*D113</f>
        <v>0</v>
      </c>
    </row>
    <row r="114" spans="1:10">
      <c r="A114" s="611"/>
      <c r="B114" s="612"/>
      <c r="C114" s="444">
        <v>0</v>
      </c>
      <c r="D114" s="445">
        <v>0</v>
      </c>
      <c r="E114" s="446">
        <f t="shared" ref="E114:E116" si="19">C114*D114</f>
        <v>0</v>
      </c>
      <c r="G114" s="613" t="s">
        <v>753</v>
      </c>
      <c r="H114" s="614"/>
      <c r="I114" s="617">
        <f>E2+K2+E21+K21+E38+K38+E52+K52+E68+K68+E84+K84+I96+I97+I98+I99+I100+I101+I102+I103+I104+I105+I106+I107+I108+I109+I110+I111+E117</f>
        <v>0</v>
      </c>
      <c r="J114" s="618"/>
    </row>
    <row r="115" spans="1:10" ht="15" thickBot="1">
      <c r="A115" s="611"/>
      <c r="B115" s="612"/>
      <c r="C115" s="444">
        <v>0</v>
      </c>
      <c r="D115" s="445">
        <v>0</v>
      </c>
      <c r="E115" s="446">
        <f t="shared" si="19"/>
        <v>0</v>
      </c>
      <c r="G115" s="615"/>
      <c r="H115" s="616"/>
      <c r="I115" s="619"/>
      <c r="J115" s="620"/>
    </row>
    <row r="116" spans="1:10" ht="15" thickBot="1">
      <c r="A116" s="593"/>
      <c r="B116" s="594"/>
      <c r="C116" s="447">
        <v>0</v>
      </c>
      <c r="D116" s="448">
        <v>0</v>
      </c>
      <c r="E116" s="449">
        <f t="shared" si="19"/>
        <v>0</v>
      </c>
    </row>
    <row r="117" spans="1:10" ht="15.75" thickBot="1">
      <c r="A117" s="595" t="s">
        <v>277</v>
      </c>
      <c r="B117" s="596"/>
      <c r="C117" s="596"/>
      <c r="D117" s="597"/>
      <c r="E117" s="450">
        <f>SUM(E113:E116)</f>
        <v>0</v>
      </c>
    </row>
  </sheetData>
  <mergeCells count="174">
    <mergeCell ref="A116:B116"/>
    <mergeCell ref="A117:D117"/>
    <mergeCell ref="J109:K111"/>
    <mergeCell ref="A110:E110"/>
    <mergeCell ref="A111:E111"/>
    <mergeCell ref="A112:B112"/>
    <mergeCell ref="A113:B113"/>
    <mergeCell ref="A114:B114"/>
    <mergeCell ref="G114:H115"/>
    <mergeCell ref="I114:J115"/>
    <mergeCell ref="A115:B115"/>
    <mergeCell ref="A105:B105"/>
    <mergeCell ref="A106:B106"/>
    <mergeCell ref="A107:B107"/>
    <mergeCell ref="A108:B108"/>
    <mergeCell ref="A109:E109"/>
    <mergeCell ref="G109:G111"/>
    <mergeCell ref="A99:B99"/>
    <mergeCell ref="A100:B100"/>
    <mergeCell ref="A101:B101"/>
    <mergeCell ref="A102:B102"/>
    <mergeCell ref="A103:B103"/>
    <mergeCell ref="A104:B104"/>
    <mergeCell ref="C92:E92"/>
    <mergeCell ref="I92:K92"/>
    <mergeCell ref="A95:B95"/>
    <mergeCell ref="A96:B96"/>
    <mergeCell ref="A97:B97"/>
    <mergeCell ref="A98:B98"/>
    <mergeCell ref="C89:E89"/>
    <mergeCell ref="I89:K89"/>
    <mergeCell ref="C90:E90"/>
    <mergeCell ref="I90:K90"/>
    <mergeCell ref="C91:E91"/>
    <mergeCell ref="I91:K91"/>
    <mergeCell ref="C86:E86"/>
    <mergeCell ref="I86:K86"/>
    <mergeCell ref="C87:E87"/>
    <mergeCell ref="I87:K87"/>
    <mergeCell ref="C88:E88"/>
    <mergeCell ref="I88:K88"/>
    <mergeCell ref="C80:E80"/>
    <mergeCell ref="I80:K80"/>
    <mergeCell ref="C81:E81"/>
    <mergeCell ref="I81:K81"/>
    <mergeCell ref="C85:E85"/>
    <mergeCell ref="I85:K85"/>
    <mergeCell ref="C77:E77"/>
    <mergeCell ref="I77:K77"/>
    <mergeCell ref="C78:E78"/>
    <mergeCell ref="I78:K78"/>
    <mergeCell ref="C79:E79"/>
    <mergeCell ref="I79:K79"/>
    <mergeCell ref="C74:E74"/>
    <mergeCell ref="I74:K74"/>
    <mergeCell ref="C75:E75"/>
    <mergeCell ref="I75:K75"/>
    <mergeCell ref="C76:E76"/>
    <mergeCell ref="I76:K76"/>
    <mergeCell ref="C71:E71"/>
    <mergeCell ref="I71:K71"/>
    <mergeCell ref="C72:E72"/>
    <mergeCell ref="I72:K72"/>
    <mergeCell ref="C73:E73"/>
    <mergeCell ref="I73:K73"/>
    <mergeCell ref="C65:E65"/>
    <mergeCell ref="I65:K65"/>
    <mergeCell ref="C69:E69"/>
    <mergeCell ref="I69:K69"/>
    <mergeCell ref="C70:E70"/>
    <mergeCell ref="I70:K70"/>
    <mergeCell ref="C62:E62"/>
    <mergeCell ref="I62:K62"/>
    <mergeCell ref="C63:E63"/>
    <mergeCell ref="I63:K63"/>
    <mergeCell ref="C64:E64"/>
    <mergeCell ref="I64:K64"/>
    <mergeCell ref="C59:E59"/>
    <mergeCell ref="I59:K59"/>
    <mergeCell ref="C60:E60"/>
    <mergeCell ref="I60:K60"/>
    <mergeCell ref="C61:E61"/>
    <mergeCell ref="I61:K61"/>
    <mergeCell ref="C56:E56"/>
    <mergeCell ref="I56:K56"/>
    <mergeCell ref="C57:E57"/>
    <mergeCell ref="I57:K57"/>
    <mergeCell ref="C58:E58"/>
    <mergeCell ref="I58:K58"/>
    <mergeCell ref="C53:E53"/>
    <mergeCell ref="I53:K53"/>
    <mergeCell ref="C54:E54"/>
    <mergeCell ref="I54:K54"/>
    <mergeCell ref="C55:E55"/>
    <mergeCell ref="I55:K55"/>
    <mergeCell ref="C47:E47"/>
    <mergeCell ref="I47:K47"/>
    <mergeCell ref="C48:E48"/>
    <mergeCell ref="I48:K48"/>
    <mergeCell ref="C49:E49"/>
    <mergeCell ref="I49:K49"/>
    <mergeCell ref="C44:E44"/>
    <mergeCell ref="I44:K44"/>
    <mergeCell ref="C45:E45"/>
    <mergeCell ref="I45:K45"/>
    <mergeCell ref="C46:E46"/>
    <mergeCell ref="I46:K46"/>
    <mergeCell ref="C41:E41"/>
    <mergeCell ref="I41:K41"/>
    <mergeCell ref="C42:E42"/>
    <mergeCell ref="I42:K42"/>
    <mergeCell ref="C43:E43"/>
    <mergeCell ref="I43:K43"/>
    <mergeCell ref="C34:E34"/>
    <mergeCell ref="I34:K34"/>
    <mergeCell ref="C35:E35"/>
    <mergeCell ref="C39:E39"/>
    <mergeCell ref="I39:K39"/>
    <mergeCell ref="C40:E40"/>
    <mergeCell ref="I40:K40"/>
    <mergeCell ref="C31:E31"/>
    <mergeCell ref="I31:K31"/>
    <mergeCell ref="C32:E32"/>
    <mergeCell ref="I32:K32"/>
    <mergeCell ref="C33:E33"/>
    <mergeCell ref="I33:K33"/>
    <mergeCell ref="C28:E28"/>
    <mergeCell ref="I28:K28"/>
    <mergeCell ref="C29:E29"/>
    <mergeCell ref="I29:K29"/>
    <mergeCell ref="C30:E30"/>
    <mergeCell ref="I30:K30"/>
    <mergeCell ref="C25:E25"/>
    <mergeCell ref="I25:K25"/>
    <mergeCell ref="C26:E26"/>
    <mergeCell ref="I26:K26"/>
    <mergeCell ref="C27:E27"/>
    <mergeCell ref="I27:K27"/>
    <mergeCell ref="C22:E22"/>
    <mergeCell ref="I22:K22"/>
    <mergeCell ref="C23:E23"/>
    <mergeCell ref="I23:K23"/>
    <mergeCell ref="C24:E24"/>
    <mergeCell ref="I24:K24"/>
    <mergeCell ref="C16:E16"/>
    <mergeCell ref="I16:K16"/>
    <mergeCell ref="C17:E17"/>
    <mergeCell ref="I17:K17"/>
    <mergeCell ref="C12:E12"/>
    <mergeCell ref="I12:K12"/>
    <mergeCell ref="C13:E13"/>
    <mergeCell ref="I13:K13"/>
    <mergeCell ref="C14:E14"/>
    <mergeCell ref="I14:K14"/>
    <mergeCell ref="C11:E11"/>
    <mergeCell ref="I11:K11"/>
    <mergeCell ref="C6:E6"/>
    <mergeCell ref="I6:K6"/>
    <mergeCell ref="C7:E7"/>
    <mergeCell ref="I7:K7"/>
    <mergeCell ref="C8:E8"/>
    <mergeCell ref="I8:K8"/>
    <mergeCell ref="C15:E15"/>
    <mergeCell ref="I15:K15"/>
    <mergeCell ref="C3:E3"/>
    <mergeCell ref="I3:K3"/>
    <mergeCell ref="C4:E4"/>
    <mergeCell ref="I4:K4"/>
    <mergeCell ref="C5:E5"/>
    <mergeCell ref="I5:K5"/>
    <mergeCell ref="C9:E9"/>
    <mergeCell ref="I9:K9"/>
    <mergeCell ref="C10:E10"/>
    <mergeCell ref="I10:K10"/>
  </mergeCells>
  <conditionalFormatting sqref="H35 B50 H50 B66 H66 B82 H82 B93 H93 B18:B19 H18:H19 B36:B37">
    <cfRule type="cellIs" dxfId="1" priority="1" stopIfTrue="1" operator="notEqual">
      <formula>100</formula>
    </cfRule>
  </conditionalFormatting>
  <pageMargins left="0.7" right="0.7" top="0.75" bottom="0.75" header="0.3" footer="0.3"/>
  <pageSetup scale="4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7"/>
  <sheetViews>
    <sheetView workbookViewId="0">
      <selection activeCell="B2" sqref="B2"/>
    </sheetView>
  </sheetViews>
  <sheetFormatPr defaultRowHeight="14.25"/>
  <cols>
    <col min="1" max="1" width="15.28515625" style="376" customWidth="1"/>
    <col min="2" max="2" width="14" style="376" bestFit="1" customWidth="1"/>
    <col min="3" max="3" width="11.7109375" style="376" bestFit="1" customWidth="1"/>
    <col min="4" max="4" width="11.42578125" style="376" customWidth="1"/>
    <col min="5" max="5" width="10.7109375" style="376" customWidth="1"/>
    <col min="6" max="6" width="11.85546875" style="375" customWidth="1"/>
    <col min="7" max="7" width="15.7109375" style="376" customWidth="1"/>
    <col min="8" max="8" width="14" style="376" customWidth="1"/>
    <col min="9" max="9" width="11.7109375" style="376" bestFit="1" customWidth="1"/>
    <col min="10" max="10" width="7.7109375" style="376" customWidth="1"/>
    <col min="11" max="11" width="10.7109375" style="376" customWidth="1"/>
    <col min="12" max="12" width="0.140625" style="376" customWidth="1"/>
    <col min="13" max="13" width="8.5703125" style="376" customWidth="1"/>
    <col min="14" max="14" width="2.5703125" style="376" hidden="1" customWidth="1"/>
    <col min="15" max="15" width="9.140625" style="376" customWidth="1"/>
    <col min="16" max="255" width="9.140625" style="376"/>
    <col min="256" max="256" width="13.85546875" style="376" customWidth="1"/>
    <col min="257" max="257" width="14" style="376" bestFit="1" customWidth="1"/>
    <col min="258" max="258" width="11.7109375" style="376" bestFit="1" customWidth="1"/>
    <col min="259" max="259" width="7.7109375" style="376" customWidth="1"/>
    <col min="260" max="260" width="10.7109375" style="376" customWidth="1"/>
    <col min="261" max="261" width="11.85546875" style="376" customWidth="1"/>
    <col min="262" max="262" width="13.5703125" style="376" customWidth="1"/>
    <col min="263" max="263" width="14" style="376" customWidth="1"/>
    <col min="264" max="264" width="11.7109375" style="376" bestFit="1" customWidth="1"/>
    <col min="265" max="265" width="7.7109375" style="376" customWidth="1"/>
    <col min="266" max="266" width="10.7109375" style="376" customWidth="1"/>
    <col min="267" max="511" width="9.140625" style="376"/>
    <col min="512" max="512" width="13.85546875" style="376" customWidth="1"/>
    <col min="513" max="513" width="14" style="376" bestFit="1" customWidth="1"/>
    <col min="514" max="514" width="11.7109375" style="376" bestFit="1" customWidth="1"/>
    <col min="515" max="515" width="7.7109375" style="376" customWidth="1"/>
    <col min="516" max="516" width="10.7109375" style="376" customWidth="1"/>
    <col min="517" max="517" width="11.85546875" style="376" customWidth="1"/>
    <col min="518" max="518" width="13.5703125" style="376" customWidth="1"/>
    <col min="519" max="519" width="14" style="376" customWidth="1"/>
    <col min="520" max="520" width="11.7109375" style="376" bestFit="1" customWidth="1"/>
    <col min="521" max="521" width="7.7109375" style="376" customWidth="1"/>
    <col min="522" max="522" width="10.7109375" style="376" customWidth="1"/>
    <col min="523" max="767" width="9.140625" style="376"/>
    <col min="768" max="768" width="13.85546875" style="376" customWidth="1"/>
    <col min="769" max="769" width="14" style="376" bestFit="1" customWidth="1"/>
    <col min="770" max="770" width="11.7109375" style="376" bestFit="1" customWidth="1"/>
    <col min="771" max="771" width="7.7109375" style="376" customWidth="1"/>
    <col min="772" max="772" width="10.7109375" style="376" customWidth="1"/>
    <col min="773" max="773" width="11.85546875" style="376" customWidth="1"/>
    <col min="774" max="774" width="13.5703125" style="376" customWidth="1"/>
    <col min="775" max="775" width="14" style="376" customWidth="1"/>
    <col min="776" max="776" width="11.7109375" style="376" bestFit="1" customWidth="1"/>
    <col min="777" max="777" width="7.7109375" style="376" customWidth="1"/>
    <col min="778" max="778" width="10.7109375" style="376" customWidth="1"/>
    <col min="779" max="1023" width="9.140625" style="376"/>
    <col min="1024" max="1024" width="13.85546875" style="376" customWidth="1"/>
    <col min="1025" max="1025" width="14" style="376" bestFit="1" customWidth="1"/>
    <col min="1026" max="1026" width="11.7109375" style="376" bestFit="1" customWidth="1"/>
    <col min="1027" max="1027" width="7.7109375" style="376" customWidth="1"/>
    <col min="1028" max="1028" width="10.7109375" style="376" customWidth="1"/>
    <col min="1029" max="1029" width="11.85546875" style="376" customWidth="1"/>
    <col min="1030" max="1030" width="13.5703125" style="376" customWidth="1"/>
    <col min="1031" max="1031" width="14" style="376" customWidth="1"/>
    <col min="1032" max="1032" width="11.7109375" style="376" bestFit="1" customWidth="1"/>
    <col min="1033" max="1033" width="7.7109375" style="376" customWidth="1"/>
    <col min="1034" max="1034" width="10.7109375" style="376" customWidth="1"/>
    <col min="1035" max="1279" width="9.140625" style="376"/>
    <col min="1280" max="1280" width="13.85546875" style="376" customWidth="1"/>
    <col min="1281" max="1281" width="14" style="376" bestFit="1" customWidth="1"/>
    <col min="1282" max="1282" width="11.7109375" style="376" bestFit="1" customWidth="1"/>
    <col min="1283" max="1283" width="7.7109375" style="376" customWidth="1"/>
    <col min="1284" max="1284" width="10.7109375" style="376" customWidth="1"/>
    <col min="1285" max="1285" width="11.85546875" style="376" customWidth="1"/>
    <col min="1286" max="1286" width="13.5703125" style="376" customWidth="1"/>
    <col min="1287" max="1287" width="14" style="376" customWidth="1"/>
    <col min="1288" max="1288" width="11.7109375" style="376" bestFit="1" customWidth="1"/>
    <col min="1289" max="1289" width="7.7109375" style="376" customWidth="1"/>
    <col min="1290" max="1290" width="10.7109375" style="376" customWidth="1"/>
    <col min="1291" max="1535" width="9.140625" style="376"/>
    <col min="1536" max="1536" width="13.85546875" style="376" customWidth="1"/>
    <col min="1537" max="1537" width="14" style="376" bestFit="1" customWidth="1"/>
    <col min="1538" max="1538" width="11.7109375" style="376" bestFit="1" customWidth="1"/>
    <col min="1539" max="1539" width="7.7109375" style="376" customWidth="1"/>
    <col min="1540" max="1540" width="10.7109375" style="376" customWidth="1"/>
    <col min="1541" max="1541" width="11.85546875" style="376" customWidth="1"/>
    <col min="1542" max="1542" width="13.5703125" style="376" customWidth="1"/>
    <col min="1543" max="1543" width="14" style="376" customWidth="1"/>
    <col min="1544" max="1544" width="11.7109375" style="376" bestFit="1" customWidth="1"/>
    <col min="1545" max="1545" width="7.7109375" style="376" customWidth="1"/>
    <col min="1546" max="1546" width="10.7109375" style="376" customWidth="1"/>
    <col min="1547" max="1791" width="9.140625" style="376"/>
    <col min="1792" max="1792" width="13.85546875" style="376" customWidth="1"/>
    <col min="1793" max="1793" width="14" style="376" bestFit="1" customWidth="1"/>
    <col min="1794" max="1794" width="11.7109375" style="376" bestFit="1" customWidth="1"/>
    <col min="1795" max="1795" width="7.7109375" style="376" customWidth="1"/>
    <col min="1796" max="1796" width="10.7109375" style="376" customWidth="1"/>
    <col min="1797" max="1797" width="11.85546875" style="376" customWidth="1"/>
    <col min="1798" max="1798" width="13.5703125" style="376" customWidth="1"/>
    <col min="1799" max="1799" width="14" style="376" customWidth="1"/>
    <col min="1800" max="1800" width="11.7109375" style="376" bestFit="1" customWidth="1"/>
    <col min="1801" max="1801" width="7.7109375" style="376" customWidth="1"/>
    <col min="1802" max="1802" width="10.7109375" style="376" customWidth="1"/>
    <col min="1803" max="2047" width="9.140625" style="376"/>
    <col min="2048" max="2048" width="13.85546875" style="376" customWidth="1"/>
    <col min="2049" max="2049" width="14" style="376" bestFit="1" customWidth="1"/>
    <col min="2050" max="2050" width="11.7109375" style="376" bestFit="1" customWidth="1"/>
    <col min="2051" max="2051" width="7.7109375" style="376" customWidth="1"/>
    <col min="2052" max="2052" width="10.7109375" style="376" customWidth="1"/>
    <col min="2053" max="2053" width="11.85546875" style="376" customWidth="1"/>
    <col min="2054" max="2054" width="13.5703125" style="376" customWidth="1"/>
    <col min="2055" max="2055" width="14" style="376" customWidth="1"/>
    <col min="2056" max="2056" width="11.7109375" style="376" bestFit="1" customWidth="1"/>
    <col min="2057" max="2057" width="7.7109375" style="376" customWidth="1"/>
    <col min="2058" max="2058" width="10.7109375" style="376" customWidth="1"/>
    <col min="2059" max="2303" width="9.140625" style="376"/>
    <col min="2304" max="2304" width="13.85546875" style="376" customWidth="1"/>
    <col min="2305" max="2305" width="14" style="376" bestFit="1" customWidth="1"/>
    <col min="2306" max="2306" width="11.7109375" style="376" bestFit="1" customWidth="1"/>
    <col min="2307" max="2307" width="7.7109375" style="376" customWidth="1"/>
    <col min="2308" max="2308" width="10.7109375" style="376" customWidth="1"/>
    <col min="2309" max="2309" width="11.85546875" style="376" customWidth="1"/>
    <col min="2310" max="2310" width="13.5703125" style="376" customWidth="1"/>
    <col min="2311" max="2311" width="14" style="376" customWidth="1"/>
    <col min="2312" max="2312" width="11.7109375" style="376" bestFit="1" customWidth="1"/>
    <col min="2313" max="2313" width="7.7109375" style="376" customWidth="1"/>
    <col min="2314" max="2314" width="10.7109375" style="376" customWidth="1"/>
    <col min="2315" max="2559" width="9.140625" style="376"/>
    <col min="2560" max="2560" width="13.85546875" style="376" customWidth="1"/>
    <col min="2561" max="2561" width="14" style="376" bestFit="1" customWidth="1"/>
    <col min="2562" max="2562" width="11.7109375" style="376" bestFit="1" customWidth="1"/>
    <col min="2563" max="2563" width="7.7109375" style="376" customWidth="1"/>
    <col min="2564" max="2564" width="10.7109375" style="376" customWidth="1"/>
    <col min="2565" max="2565" width="11.85546875" style="376" customWidth="1"/>
    <col min="2566" max="2566" width="13.5703125" style="376" customWidth="1"/>
    <col min="2567" max="2567" width="14" style="376" customWidth="1"/>
    <col min="2568" max="2568" width="11.7109375" style="376" bestFit="1" customWidth="1"/>
    <col min="2569" max="2569" width="7.7109375" style="376" customWidth="1"/>
    <col min="2570" max="2570" width="10.7109375" style="376" customWidth="1"/>
    <col min="2571" max="2815" width="9.140625" style="376"/>
    <col min="2816" max="2816" width="13.85546875" style="376" customWidth="1"/>
    <col min="2817" max="2817" width="14" style="376" bestFit="1" customWidth="1"/>
    <col min="2818" max="2818" width="11.7109375" style="376" bestFit="1" customWidth="1"/>
    <col min="2819" max="2819" width="7.7109375" style="376" customWidth="1"/>
    <col min="2820" max="2820" width="10.7109375" style="376" customWidth="1"/>
    <col min="2821" max="2821" width="11.85546875" style="376" customWidth="1"/>
    <col min="2822" max="2822" width="13.5703125" style="376" customWidth="1"/>
    <col min="2823" max="2823" width="14" style="376" customWidth="1"/>
    <col min="2824" max="2824" width="11.7109375" style="376" bestFit="1" customWidth="1"/>
    <col min="2825" max="2825" width="7.7109375" style="376" customWidth="1"/>
    <col min="2826" max="2826" width="10.7109375" style="376" customWidth="1"/>
    <col min="2827" max="3071" width="9.140625" style="376"/>
    <col min="3072" max="3072" width="13.85546875" style="376" customWidth="1"/>
    <col min="3073" max="3073" width="14" style="376" bestFit="1" customWidth="1"/>
    <col min="3074" max="3074" width="11.7109375" style="376" bestFit="1" customWidth="1"/>
    <col min="3075" max="3075" width="7.7109375" style="376" customWidth="1"/>
    <col min="3076" max="3076" width="10.7109375" style="376" customWidth="1"/>
    <col min="3077" max="3077" width="11.85546875" style="376" customWidth="1"/>
    <col min="3078" max="3078" width="13.5703125" style="376" customWidth="1"/>
    <col min="3079" max="3079" width="14" style="376" customWidth="1"/>
    <col min="3080" max="3080" width="11.7109375" style="376" bestFit="1" customWidth="1"/>
    <col min="3081" max="3081" width="7.7109375" style="376" customWidth="1"/>
    <col min="3082" max="3082" width="10.7109375" style="376" customWidth="1"/>
    <col min="3083" max="3327" width="9.140625" style="376"/>
    <col min="3328" max="3328" width="13.85546875" style="376" customWidth="1"/>
    <col min="3329" max="3329" width="14" style="376" bestFit="1" customWidth="1"/>
    <col min="3330" max="3330" width="11.7109375" style="376" bestFit="1" customWidth="1"/>
    <col min="3331" max="3331" width="7.7109375" style="376" customWidth="1"/>
    <col min="3332" max="3332" width="10.7109375" style="376" customWidth="1"/>
    <col min="3333" max="3333" width="11.85546875" style="376" customWidth="1"/>
    <col min="3334" max="3334" width="13.5703125" style="376" customWidth="1"/>
    <col min="3335" max="3335" width="14" style="376" customWidth="1"/>
    <col min="3336" max="3336" width="11.7109375" style="376" bestFit="1" customWidth="1"/>
    <col min="3337" max="3337" width="7.7109375" style="376" customWidth="1"/>
    <col min="3338" max="3338" width="10.7109375" style="376" customWidth="1"/>
    <col min="3339" max="3583" width="9.140625" style="376"/>
    <col min="3584" max="3584" width="13.85546875" style="376" customWidth="1"/>
    <col min="3585" max="3585" width="14" style="376" bestFit="1" customWidth="1"/>
    <col min="3586" max="3586" width="11.7109375" style="376" bestFit="1" customWidth="1"/>
    <col min="3587" max="3587" width="7.7109375" style="376" customWidth="1"/>
    <col min="3588" max="3588" width="10.7109375" style="376" customWidth="1"/>
    <col min="3589" max="3589" width="11.85546875" style="376" customWidth="1"/>
    <col min="3590" max="3590" width="13.5703125" style="376" customWidth="1"/>
    <col min="3591" max="3591" width="14" style="376" customWidth="1"/>
    <col min="3592" max="3592" width="11.7109375" style="376" bestFit="1" customWidth="1"/>
    <col min="3593" max="3593" width="7.7109375" style="376" customWidth="1"/>
    <col min="3594" max="3594" width="10.7109375" style="376" customWidth="1"/>
    <col min="3595" max="3839" width="9.140625" style="376"/>
    <col min="3840" max="3840" width="13.85546875" style="376" customWidth="1"/>
    <col min="3841" max="3841" width="14" style="376" bestFit="1" customWidth="1"/>
    <col min="3842" max="3842" width="11.7109375" style="376" bestFit="1" customWidth="1"/>
    <col min="3843" max="3843" width="7.7109375" style="376" customWidth="1"/>
    <col min="3844" max="3844" width="10.7109375" style="376" customWidth="1"/>
    <col min="3845" max="3845" width="11.85546875" style="376" customWidth="1"/>
    <col min="3846" max="3846" width="13.5703125" style="376" customWidth="1"/>
    <col min="3847" max="3847" width="14" style="376" customWidth="1"/>
    <col min="3848" max="3848" width="11.7109375" style="376" bestFit="1" customWidth="1"/>
    <col min="3849" max="3849" width="7.7109375" style="376" customWidth="1"/>
    <col min="3850" max="3850" width="10.7109375" style="376" customWidth="1"/>
    <col min="3851" max="4095" width="9.140625" style="376"/>
    <col min="4096" max="4096" width="13.85546875" style="376" customWidth="1"/>
    <col min="4097" max="4097" width="14" style="376" bestFit="1" customWidth="1"/>
    <col min="4098" max="4098" width="11.7109375" style="376" bestFit="1" customWidth="1"/>
    <col min="4099" max="4099" width="7.7109375" style="376" customWidth="1"/>
    <col min="4100" max="4100" width="10.7109375" style="376" customWidth="1"/>
    <col min="4101" max="4101" width="11.85546875" style="376" customWidth="1"/>
    <col min="4102" max="4102" width="13.5703125" style="376" customWidth="1"/>
    <col min="4103" max="4103" width="14" style="376" customWidth="1"/>
    <col min="4104" max="4104" width="11.7109375" style="376" bestFit="1" customWidth="1"/>
    <col min="4105" max="4105" width="7.7109375" style="376" customWidth="1"/>
    <col min="4106" max="4106" width="10.7109375" style="376" customWidth="1"/>
    <col min="4107" max="4351" width="9.140625" style="376"/>
    <col min="4352" max="4352" width="13.85546875" style="376" customWidth="1"/>
    <col min="4353" max="4353" width="14" style="376" bestFit="1" customWidth="1"/>
    <col min="4354" max="4354" width="11.7109375" style="376" bestFit="1" customWidth="1"/>
    <col min="4355" max="4355" width="7.7109375" style="376" customWidth="1"/>
    <col min="4356" max="4356" width="10.7109375" style="376" customWidth="1"/>
    <col min="4357" max="4357" width="11.85546875" style="376" customWidth="1"/>
    <col min="4358" max="4358" width="13.5703125" style="376" customWidth="1"/>
    <col min="4359" max="4359" width="14" style="376" customWidth="1"/>
    <col min="4360" max="4360" width="11.7109375" style="376" bestFit="1" customWidth="1"/>
    <col min="4361" max="4361" width="7.7109375" style="376" customWidth="1"/>
    <col min="4362" max="4362" width="10.7109375" style="376" customWidth="1"/>
    <col min="4363" max="4607" width="9.140625" style="376"/>
    <col min="4608" max="4608" width="13.85546875" style="376" customWidth="1"/>
    <col min="4609" max="4609" width="14" style="376" bestFit="1" customWidth="1"/>
    <col min="4610" max="4610" width="11.7109375" style="376" bestFit="1" customWidth="1"/>
    <col min="4611" max="4611" width="7.7109375" style="376" customWidth="1"/>
    <col min="4612" max="4612" width="10.7109375" style="376" customWidth="1"/>
    <col min="4613" max="4613" width="11.85546875" style="376" customWidth="1"/>
    <col min="4614" max="4614" width="13.5703125" style="376" customWidth="1"/>
    <col min="4615" max="4615" width="14" style="376" customWidth="1"/>
    <col min="4616" max="4616" width="11.7109375" style="376" bestFit="1" customWidth="1"/>
    <col min="4617" max="4617" width="7.7109375" style="376" customWidth="1"/>
    <col min="4618" max="4618" width="10.7109375" style="376" customWidth="1"/>
    <col min="4619" max="4863" width="9.140625" style="376"/>
    <col min="4864" max="4864" width="13.85546875" style="376" customWidth="1"/>
    <col min="4865" max="4865" width="14" style="376" bestFit="1" customWidth="1"/>
    <col min="4866" max="4866" width="11.7109375" style="376" bestFit="1" customWidth="1"/>
    <col min="4867" max="4867" width="7.7109375" style="376" customWidth="1"/>
    <col min="4868" max="4868" width="10.7109375" style="376" customWidth="1"/>
    <col min="4869" max="4869" width="11.85546875" style="376" customWidth="1"/>
    <col min="4870" max="4870" width="13.5703125" style="376" customWidth="1"/>
    <col min="4871" max="4871" width="14" style="376" customWidth="1"/>
    <col min="4872" max="4872" width="11.7109375" style="376" bestFit="1" customWidth="1"/>
    <col min="4873" max="4873" width="7.7109375" style="376" customWidth="1"/>
    <col min="4874" max="4874" width="10.7109375" style="376" customWidth="1"/>
    <col min="4875" max="5119" width="9.140625" style="376"/>
    <col min="5120" max="5120" width="13.85546875" style="376" customWidth="1"/>
    <col min="5121" max="5121" width="14" style="376" bestFit="1" customWidth="1"/>
    <col min="5122" max="5122" width="11.7109375" style="376" bestFit="1" customWidth="1"/>
    <col min="5123" max="5123" width="7.7109375" style="376" customWidth="1"/>
    <col min="5124" max="5124" width="10.7109375" style="376" customWidth="1"/>
    <col min="5125" max="5125" width="11.85546875" style="376" customWidth="1"/>
    <col min="5126" max="5126" width="13.5703125" style="376" customWidth="1"/>
    <col min="5127" max="5127" width="14" style="376" customWidth="1"/>
    <col min="5128" max="5128" width="11.7109375" style="376" bestFit="1" customWidth="1"/>
    <col min="5129" max="5129" width="7.7109375" style="376" customWidth="1"/>
    <col min="5130" max="5130" width="10.7109375" style="376" customWidth="1"/>
    <col min="5131" max="5375" width="9.140625" style="376"/>
    <col min="5376" max="5376" width="13.85546875" style="376" customWidth="1"/>
    <col min="5377" max="5377" width="14" style="376" bestFit="1" customWidth="1"/>
    <col min="5378" max="5378" width="11.7109375" style="376" bestFit="1" customWidth="1"/>
    <col min="5379" max="5379" width="7.7109375" style="376" customWidth="1"/>
    <col min="5380" max="5380" width="10.7109375" style="376" customWidth="1"/>
    <col min="5381" max="5381" width="11.85546875" style="376" customWidth="1"/>
    <col min="5382" max="5382" width="13.5703125" style="376" customWidth="1"/>
    <col min="5383" max="5383" width="14" style="376" customWidth="1"/>
    <col min="5384" max="5384" width="11.7109375" style="376" bestFit="1" customWidth="1"/>
    <col min="5385" max="5385" width="7.7109375" style="376" customWidth="1"/>
    <col min="5386" max="5386" width="10.7109375" style="376" customWidth="1"/>
    <col min="5387" max="5631" width="9.140625" style="376"/>
    <col min="5632" max="5632" width="13.85546875" style="376" customWidth="1"/>
    <col min="5633" max="5633" width="14" style="376" bestFit="1" customWidth="1"/>
    <col min="5634" max="5634" width="11.7109375" style="376" bestFit="1" customWidth="1"/>
    <col min="5635" max="5635" width="7.7109375" style="376" customWidth="1"/>
    <col min="5636" max="5636" width="10.7109375" style="376" customWidth="1"/>
    <col min="5637" max="5637" width="11.85546875" style="376" customWidth="1"/>
    <col min="5638" max="5638" width="13.5703125" style="376" customWidth="1"/>
    <col min="5639" max="5639" width="14" style="376" customWidth="1"/>
    <col min="5640" max="5640" width="11.7109375" style="376" bestFit="1" customWidth="1"/>
    <col min="5641" max="5641" width="7.7109375" style="376" customWidth="1"/>
    <col min="5642" max="5642" width="10.7109375" style="376" customWidth="1"/>
    <col min="5643" max="5887" width="9.140625" style="376"/>
    <col min="5888" max="5888" width="13.85546875" style="376" customWidth="1"/>
    <col min="5889" max="5889" width="14" style="376" bestFit="1" customWidth="1"/>
    <col min="5890" max="5890" width="11.7109375" style="376" bestFit="1" customWidth="1"/>
    <col min="5891" max="5891" width="7.7109375" style="376" customWidth="1"/>
    <col min="5892" max="5892" width="10.7109375" style="376" customWidth="1"/>
    <col min="5893" max="5893" width="11.85546875" style="376" customWidth="1"/>
    <col min="5894" max="5894" width="13.5703125" style="376" customWidth="1"/>
    <col min="5895" max="5895" width="14" style="376" customWidth="1"/>
    <col min="5896" max="5896" width="11.7109375" style="376" bestFit="1" customWidth="1"/>
    <col min="5897" max="5897" width="7.7109375" style="376" customWidth="1"/>
    <col min="5898" max="5898" width="10.7109375" style="376" customWidth="1"/>
    <col min="5899" max="6143" width="9.140625" style="376"/>
    <col min="6144" max="6144" width="13.85546875" style="376" customWidth="1"/>
    <col min="6145" max="6145" width="14" style="376" bestFit="1" customWidth="1"/>
    <col min="6146" max="6146" width="11.7109375" style="376" bestFit="1" customWidth="1"/>
    <col min="6147" max="6147" width="7.7109375" style="376" customWidth="1"/>
    <col min="6148" max="6148" width="10.7109375" style="376" customWidth="1"/>
    <col min="6149" max="6149" width="11.85546875" style="376" customWidth="1"/>
    <col min="6150" max="6150" width="13.5703125" style="376" customWidth="1"/>
    <col min="6151" max="6151" width="14" style="376" customWidth="1"/>
    <col min="6152" max="6152" width="11.7109375" style="376" bestFit="1" customWidth="1"/>
    <col min="6153" max="6153" width="7.7109375" style="376" customWidth="1"/>
    <col min="6154" max="6154" width="10.7109375" style="376" customWidth="1"/>
    <col min="6155" max="6399" width="9.140625" style="376"/>
    <col min="6400" max="6400" width="13.85546875" style="376" customWidth="1"/>
    <col min="6401" max="6401" width="14" style="376" bestFit="1" customWidth="1"/>
    <col min="6402" max="6402" width="11.7109375" style="376" bestFit="1" customWidth="1"/>
    <col min="6403" max="6403" width="7.7109375" style="376" customWidth="1"/>
    <col min="6404" max="6404" width="10.7109375" style="376" customWidth="1"/>
    <col min="6405" max="6405" width="11.85546875" style="376" customWidth="1"/>
    <col min="6406" max="6406" width="13.5703125" style="376" customWidth="1"/>
    <col min="6407" max="6407" width="14" style="376" customWidth="1"/>
    <col min="6408" max="6408" width="11.7109375" style="376" bestFit="1" customWidth="1"/>
    <col min="6409" max="6409" width="7.7109375" style="376" customWidth="1"/>
    <col min="6410" max="6410" width="10.7109375" style="376" customWidth="1"/>
    <col min="6411" max="6655" width="9.140625" style="376"/>
    <col min="6656" max="6656" width="13.85546875" style="376" customWidth="1"/>
    <col min="6657" max="6657" width="14" style="376" bestFit="1" customWidth="1"/>
    <col min="6658" max="6658" width="11.7109375" style="376" bestFit="1" customWidth="1"/>
    <col min="6659" max="6659" width="7.7109375" style="376" customWidth="1"/>
    <col min="6660" max="6660" width="10.7109375" style="376" customWidth="1"/>
    <col min="6661" max="6661" width="11.85546875" style="376" customWidth="1"/>
    <col min="6662" max="6662" width="13.5703125" style="376" customWidth="1"/>
    <col min="6663" max="6663" width="14" style="376" customWidth="1"/>
    <col min="6664" max="6664" width="11.7109375" style="376" bestFit="1" customWidth="1"/>
    <col min="6665" max="6665" width="7.7109375" style="376" customWidth="1"/>
    <col min="6666" max="6666" width="10.7109375" style="376" customWidth="1"/>
    <col min="6667" max="6911" width="9.140625" style="376"/>
    <col min="6912" max="6912" width="13.85546875" style="376" customWidth="1"/>
    <col min="6913" max="6913" width="14" style="376" bestFit="1" customWidth="1"/>
    <col min="6914" max="6914" width="11.7109375" style="376" bestFit="1" customWidth="1"/>
    <col min="6915" max="6915" width="7.7109375" style="376" customWidth="1"/>
    <col min="6916" max="6916" width="10.7109375" style="376" customWidth="1"/>
    <col min="6917" max="6917" width="11.85546875" style="376" customWidth="1"/>
    <col min="6918" max="6918" width="13.5703125" style="376" customWidth="1"/>
    <col min="6919" max="6919" width="14" style="376" customWidth="1"/>
    <col min="6920" max="6920" width="11.7109375" style="376" bestFit="1" customWidth="1"/>
    <col min="6921" max="6921" width="7.7109375" style="376" customWidth="1"/>
    <col min="6922" max="6922" width="10.7109375" style="376" customWidth="1"/>
    <col min="6923" max="7167" width="9.140625" style="376"/>
    <col min="7168" max="7168" width="13.85546875" style="376" customWidth="1"/>
    <col min="7169" max="7169" width="14" style="376" bestFit="1" customWidth="1"/>
    <col min="7170" max="7170" width="11.7109375" style="376" bestFit="1" customWidth="1"/>
    <col min="7171" max="7171" width="7.7109375" style="376" customWidth="1"/>
    <col min="7172" max="7172" width="10.7109375" style="376" customWidth="1"/>
    <col min="7173" max="7173" width="11.85546875" style="376" customWidth="1"/>
    <col min="7174" max="7174" width="13.5703125" style="376" customWidth="1"/>
    <col min="7175" max="7175" width="14" style="376" customWidth="1"/>
    <col min="7176" max="7176" width="11.7109375" style="376" bestFit="1" customWidth="1"/>
    <col min="7177" max="7177" width="7.7109375" style="376" customWidth="1"/>
    <col min="7178" max="7178" width="10.7109375" style="376" customWidth="1"/>
    <col min="7179" max="7423" width="9.140625" style="376"/>
    <col min="7424" max="7424" width="13.85546875" style="376" customWidth="1"/>
    <col min="7425" max="7425" width="14" style="376" bestFit="1" customWidth="1"/>
    <col min="7426" max="7426" width="11.7109375" style="376" bestFit="1" customWidth="1"/>
    <col min="7427" max="7427" width="7.7109375" style="376" customWidth="1"/>
    <col min="7428" max="7428" width="10.7109375" style="376" customWidth="1"/>
    <col min="7429" max="7429" width="11.85546875" style="376" customWidth="1"/>
    <col min="7430" max="7430" width="13.5703125" style="376" customWidth="1"/>
    <col min="7431" max="7431" width="14" style="376" customWidth="1"/>
    <col min="7432" max="7432" width="11.7109375" style="376" bestFit="1" customWidth="1"/>
    <col min="7433" max="7433" width="7.7109375" style="376" customWidth="1"/>
    <col min="7434" max="7434" width="10.7109375" style="376" customWidth="1"/>
    <col min="7435" max="7679" width="9.140625" style="376"/>
    <col min="7680" max="7680" width="13.85546875" style="376" customWidth="1"/>
    <col min="7681" max="7681" width="14" style="376" bestFit="1" customWidth="1"/>
    <col min="7682" max="7682" width="11.7109375" style="376" bestFit="1" customWidth="1"/>
    <col min="7683" max="7683" width="7.7109375" style="376" customWidth="1"/>
    <col min="7684" max="7684" width="10.7109375" style="376" customWidth="1"/>
    <col min="7685" max="7685" width="11.85546875" style="376" customWidth="1"/>
    <col min="7686" max="7686" width="13.5703125" style="376" customWidth="1"/>
    <col min="7687" max="7687" width="14" style="376" customWidth="1"/>
    <col min="7688" max="7688" width="11.7109375" style="376" bestFit="1" customWidth="1"/>
    <col min="7689" max="7689" width="7.7109375" style="376" customWidth="1"/>
    <col min="7690" max="7690" width="10.7109375" style="376" customWidth="1"/>
    <col min="7691" max="7935" width="9.140625" style="376"/>
    <col min="7936" max="7936" width="13.85546875" style="376" customWidth="1"/>
    <col min="7937" max="7937" width="14" style="376" bestFit="1" customWidth="1"/>
    <col min="7938" max="7938" width="11.7109375" style="376" bestFit="1" customWidth="1"/>
    <col min="7939" max="7939" width="7.7109375" style="376" customWidth="1"/>
    <col min="7940" max="7940" width="10.7109375" style="376" customWidth="1"/>
    <col min="7941" max="7941" width="11.85546875" style="376" customWidth="1"/>
    <col min="7942" max="7942" width="13.5703125" style="376" customWidth="1"/>
    <col min="7943" max="7943" width="14" style="376" customWidth="1"/>
    <col min="7944" max="7944" width="11.7109375" style="376" bestFit="1" customWidth="1"/>
    <col min="7945" max="7945" width="7.7109375" style="376" customWidth="1"/>
    <col min="7946" max="7946" width="10.7109375" style="376" customWidth="1"/>
    <col min="7947" max="8191" width="9.140625" style="376"/>
    <col min="8192" max="8192" width="13.85546875" style="376" customWidth="1"/>
    <col min="8193" max="8193" width="14" style="376" bestFit="1" customWidth="1"/>
    <col min="8194" max="8194" width="11.7109375" style="376" bestFit="1" customWidth="1"/>
    <col min="8195" max="8195" width="7.7109375" style="376" customWidth="1"/>
    <col min="8196" max="8196" width="10.7109375" style="376" customWidth="1"/>
    <col min="8197" max="8197" width="11.85546875" style="376" customWidth="1"/>
    <col min="8198" max="8198" width="13.5703125" style="376" customWidth="1"/>
    <col min="8199" max="8199" width="14" style="376" customWidth="1"/>
    <col min="8200" max="8200" width="11.7109375" style="376" bestFit="1" customWidth="1"/>
    <col min="8201" max="8201" width="7.7109375" style="376" customWidth="1"/>
    <col min="8202" max="8202" width="10.7109375" style="376" customWidth="1"/>
    <col min="8203" max="8447" width="9.140625" style="376"/>
    <col min="8448" max="8448" width="13.85546875" style="376" customWidth="1"/>
    <col min="8449" max="8449" width="14" style="376" bestFit="1" customWidth="1"/>
    <col min="8450" max="8450" width="11.7109375" style="376" bestFit="1" customWidth="1"/>
    <col min="8451" max="8451" width="7.7109375" style="376" customWidth="1"/>
    <col min="8452" max="8452" width="10.7109375" style="376" customWidth="1"/>
    <col min="8453" max="8453" width="11.85546875" style="376" customWidth="1"/>
    <col min="8454" max="8454" width="13.5703125" style="376" customWidth="1"/>
    <col min="8455" max="8455" width="14" style="376" customWidth="1"/>
    <col min="8456" max="8456" width="11.7109375" style="376" bestFit="1" customWidth="1"/>
    <col min="8457" max="8457" width="7.7109375" style="376" customWidth="1"/>
    <col min="8458" max="8458" width="10.7109375" style="376" customWidth="1"/>
    <col min="8459" max="8703" width="9.140625" style="376"/>
    <col min="8704" max="8704" width="13.85546875" style="376" customWidth="1"/>
    <col min="8705" max="8705" width="14" style="376" bestFit="1" customWidth="1"/>
    <col min="8706" max="8706" width="11.7109375" style="376" bestFit="1" customWidth="1"/>
    <col min="8707" max="8707" width="7.7109375" style="376" customWidth="1"/>
    <col min="8708" max="8708" width="10.7109375" style="376" customWidth="1"/>
    <col min="8709" max="8709" width="11.85546875" style="376" customWidth="1"/>
    <col min="8710" max="8710" width="13.5703125" style="376" customWidth="1"/>
    <col min="8711" max="8711" width="14" style="376" customWidth="1"/>
    <col min="8712" max="8712" width="11.7109375" style="376" bestFit="1" customWidth="1"/>
    <col min="8713" max="8713" width="7.7109375" style="376" customWidth="1"/>
    <col min="8714" max="8714" width="10.7109375" style="376" customWidth="1"/>
    <col min="8715" max="8959" width="9.140625" style="376"/>
    <col min="8960" max="8960" width="13.85546875" style="376" customWidth="1"/>
    <col min="8961" max="8961" width="14" style="376" bestFit="1" customWidth="1"/>
    <col min="8962" max="8962" width="11.7109375" style="376" bestFit="1" customWidth="1"/>
    <col min="8963" max="8963" width="7.7109375" style="376" customWidth="1"/>
    <col min="8964" max="8964" width="10.7109375" style="376" customWidth="1"/>
    <col min="8965" max="8965" width="11.85546875" style="376" customWidth="1"/>
    <col min="8966" max="8966" width="13.5703125" style="376" customWidth="1"/>
    <col min="8967" max="8967" width="14" style="376" customWidth="1"/>
    <col min="8968" max="8968" width="11.7109375" style="376" bestFit="1" customWidth="1"/>
    <col min="8969" max="8969" width="7.7109375" style="376" customWidth="1"/>
    <col min="8970" max="8970" width="10.7109375" style="376" customWidth="1"/>
    <col min="8971" max="9215" width="9.140625" style="376"/>
    <col min="9216" max="9216" width="13.85546875" style="376" customWidth="1"/>
    <col min="9217" max="9217" width="14" style="376" bestFit="1" customWidth="1"/>
    <col min="9218" max="9218" width="11.7109375" style="376" bestFit="1" customWidth="1"/>
    <col min="9219" max="9219" width="7.7109375" style="376" customWidth="1"/>
    <col min="9220" max="9220" width="10.7109375" style="376" customWidth="1"/>
    <col min="9221" max="9221" width="11.85546875" style="376" customWidth="1"/>
    <col min="9222" max="9222" width="13.5703125" style="376" customWidth="1"/>
    <col min="9223" max="9223" width="14" style="376" customWidth="1"/>
    <col min="9224" max="9224" width="11.7109375" style="376" bestFit="1" customWidth="1"/>
    <col min="9225" max="9225" width="7.7109375" style="376" customWidth="1"/>
    <col min="9226" max="9226" width="10.7109375" style="376" customWidth="1"/>
    <col min="9227" max="9471" width="9.140625" style="376"/>
    <col min="9472" max="9472" width="13.85546875" style="376" customWidth="1"/>
    <col min="9473" max="9473" width="14" style="376" bestFit="1" customWidth="1"/>
    <col min="9474" max="9474" width="11.7109375" style="376" bestFit="1" customWidth="1"/>
    <col min="9475" max="9475" width="7.7109375" style="376" customWidth="1"/>
    <col min="9476" max="9476" width="10.7109375" style="376" customWidth="1"/>
    <col min="9477" max="9477" width="11.85546875" style="376" customWidth="1"/>
    <col min="9478" max="9478" width="13.5703125" style="376" customWidth="1"/>
    <col min="9479" max="9479" width="14" style="376" customWidth="1"/>
    <col min="9480" max="9480" width="11.7109375" style="376" bestFit="1" customWidth="1"/>
    <col min="9481" max="9481" width="7.7109375" style="376" customWidth="1"/>
    <col min="9482" max="9482" width="10.7109375" style="376" customWidth="1"/>
    <col min="9483" max="9727" width="9.140625" style="376"/>
    <col min="9728" max="9728" width="13.85546875" style="376" customWidth="1"/>
    <col min="9729" max="9729" width="14" style="376" bestFit="1" customWidth="1"/>
    <col min="9730" max="9730" width="11.7109375" style="376" bestFit="1" customWidth="1"/>
    <col min="9731" max="9731" width="7.7109375" style="376" customWidth="1"/>
    <col min="9732" max="9732" width="10.7109375" style="376" customWidth="1"/>
    <col min="9733" max="9733" width="11.85546875" style="376" customWidth="1"/>
    <col min="9734" max="9734" width="13.5703125" style="376" customWidth="1"/>
    <col min="9735" max="9735" width="14" style="376" customWidth="1"/>
    <col min="9736" max="9736" width="11.7109375" style="376" bestFit="1" customWidth="1"/>
    <col min="9737" max="9737" width="7.7109375" style="376" customWidth="1"/>
    <col min="9738" max="9738" width="10.7109375" style="376" customWidth="1"/>
    <col min="9739" max="9983" width="9.140625" style="376"/>
    <col min="9984" max="9984" width="13.85546875" style="376" customWidth="1"/>
    <col min="9985" max="9985" width="14" style="376" bestFit="1" customWidth="1"/>
    <col min="9986" max="9986" width="11.7109375" style="376" bestFit="1" customWidth="1"/>
    <col min="9987" max="9987" width="7.7109375" style="376" customWidth="1"/>
    <col min="9988" max="9988" width="10.7109375" style="376" customWidth="1"/>
    <col min="9989" max="9989" width="11.85546875" style="376" customWidth="1"/>
    <col min="9990" max="9990" width="13.5703125" style="376" customWidth="1"/>
    <col min="9991" max="9991" width="14" style="376" customWidth="1"/>
    <col min="9992" max="9992" width="11.7109375" style="376" bestFit="1" customWidth="1"/>
    <col min="9993" max="9993" width="7.7109375" style="376" customWidth="1"/>
    <col min="9994" max="9994" width="10.7109375" style="376" customWidth="1"/>
    <col min="9995" max="10239" width="9.140625" style="376"/>
    <col min="10240" max="10240" width="13.85546875" style="376" customWidth="1"/>
    <col min="10241" max="10241" width="14" style="376" bestFit="1" customWidth="1"/>
    <col min="10242" max="10242" width="11.7109375" style="376" bestFit="1" customWidth="1"/>
    <col min="10243" max="10243" width="7.7109375" style="376" customWidth="1"/>
    <col min="10244" max="10244" width="10.7109375" style="376" customWidth="1"/>
    <col min="10245" max="10245" width="11.85546875" style="376" customWidth="1"/>
    <col min="10246" max="10246" width="13.5703125" style="376" customWidth="1"/>
    <col min="10247" max="10247" width="14" style="376" customWidth="1"/>
    <col min="10248" max="10248" width="11.7109375" style="376" bestFit="1" customWidth="1"/>
    <col min="10249" max="10249" width="7.7109375" style="376" customWidth="1"/>
    <col min="10250" max="10250" width="10.7109375" style="376" customWidth="1"/>
    <col min="10251" max="10495" width="9.140625" style="376"/>
    <col min="10496" max="10496" width="13.85546875" style="376" customWidth="1"/>
    <col min="10497" max="10497" width="14" style="376" bestFit="1" customWidth="1"/>
    <col min="10498" max="10498" width="11.7109375" style="376" bestFit="1" customWidth="1"/>
    <col min="10499" max="10499" width="7.7109375" style="376" customWidth="1"/>
    <col min="10500" max="10500" width="10.7109375" style="376" customWidth="1"/>
    <col min="10501" max="10501" width="11.85546875" style="376" customWidth="1"/>
    <col min="10502" max="10502" width="13.5703125" style="376" customWidth="1"/>
    <col min="10503" max="10503" width="14" style="376" customWidth="1"/>
    <col min="10504" max="10504" width="11.7109375" style="376" bestFit="1" customWidth="1"/>
    <col min="10505" max="10505" width="7.7109375" style="376" customWidth="1"/>
    <col min="10506" max="10506" width="10.7109375" style="376" customWidth="1"/>
    <col min="10507" max="10751" width="9.140625" style="376"/>
    <col min="10752" max="10752" width="13.85546875" style="376" customWidth="1"/>
    <col min="10753" max="10753" width="14" style="376" bestFit="1" customWidth="1"/>
    <col min="10754" max="10754" width="11.7109375" style="376" bestFit="1" customWidth="1"/>
    <col min="10755" max="10755" width="7.7109375" style="376" customWidth="1"/>
    <col min="10756" max="10756" width="10.7109375" style="376" customWidth="1"/>
    <col min="10757" max="10757" width="11.85546875" style="376" customWidth="1"/>
    <col min="10758" max="10758" width="13.5703125" style="376" customWidth="1"/>
    <col min="10759" max="10759" width="14" style="376" customWidth="1"/>
    <col min="10760" max="10760" width="11.7109375" style="376" bestFit="1" customWidth="1"/>
    <col min="10761" max="10761" width="7.7109375" style="376" customWidth="1"/>
    <col min="10762" max="10762" width="10.7109375" style="376" customWidth="1"/>
    <col min="10763" max="11007" width="9.140625" style="376"/>
    <col min="11008" max="11008" width="13.85546875" style="376" customWidth="1"/>
    <col min="11009" max="11009" width="14" style="376" bestFit="1" customWidth="1"/>
    <col min="11010" max="11010" width="11.7109375" style="376" bestFit="1" customWidth="1"/>
    <col min="11011" max="11011" width="7.7109375" style="376" customWidth="1"/>
    <col min="11012" max="11012" width="10.7109375" style="376" customWidth="1"/>
    <col min="11013" max="11013" width="11.85546875" style="376" customWidth="1"/>
    <col min="11014" max="11014" width="13.5703125" style="376" customWidth="1"/>
    <col min="11015" max="11015" width="14" style="376" customWidth="1"/>
    <col min="11016" max="11016" width="11.7109375" style="376" bestFit="1" customWidth="1"/>
    <col min="11017" max="11017" width="7.7109375" style="376" customWidth="1"/>
    <col min="11018" max="11018" width="10.7109375" style="376" customWidth="1"/>
    <col min="11019" max="11263" width="9.140625" style="376"/>
    <col min="11264" max="11264" width="13.85546875" style="376" customWidth="1"/>
    <col min="11265" max="11265" width="14" style="376" bestFit="1" customWidth="1"/>
    <col min="11266" max="11266" width="11.7109375" style="376" bestFit="1" customWidth="1"/>
    <col min="11267" max="11267" width="7.7109375" style="376" customWidth="1"/>
    <col min="11268" max="11268" width="10.7109375" style="376" customWidth="1"/>
    <col min="11269" max="11269" width="11.85546875" style="376" customWidth="1"/>
    <col min="11270" max="11270" width="13.5703125" style="376" customWidth="1"/>
    <col min="11271" max="11271" width="14" style="376" customWidth="1"/>
    <col min="11272" max="11272" width="11.7109375" style="376" bestFit="1" customWidth="1"/>
    <col min="11273" max="11273" width="7.7109375" style="376" customWidth="1"/>
    <col min="11274" max="11274" width="10.7109375" style="376" customWidth="1"/>
    <col min="11275" max="11519" width="9.140625" style="376"/>
    <col min="11520" max="11520" width="13.85546875" style="376" customWidth="1"/>
    <col min="11521" max="11521" width="14" style="376" bestFit="1" customWidth="1"/>
    <col min="11522" max="11522" width="11.7109375" style="376" bestFit="1" customWidth="1"/>
    <col min="11523" max="11523" width="7.7109375" style="376" customWidth="1"/>
    <col min="11524" max="11524" width="10.7109375" style="376" customWidth="1"/>
    <col min="11525" max="11525" width="11.85546875" style="376" customWidth="1"/>
    <col min="11526" max="11526" width="13.5703125" style="376" customWidth="1"/>
    <col min="11527" max="11527" width="14" style="376" customWidth="1"/>
    <col min="11528" max="11528" width="11.7109375" style="376" bestFit="1" customWidth="1"/>
    <col min="11529" max="11529" width="7.7109375" style="376" customWidth="1"/>
    <col min="11530" max="11530" width="10.7109375" style="376" customWidth="1"/>
    <col min="11531" max="11775" width="9.140625" style="376"/>
    <col min="11776" max="11776" width="13.85546875" style="376" customWidth="1"/>
    <col min="11777" max="11777" width="14" style="376" bestFit="1" customWidth="1"/>
    <col min="11778" max="11778" width="11.7109375" style="376" bestFit="1" customWidth="1"/>
    <col min="11779" max="11779" width="7.7109375" style="376" customWidth="1"/>
    <col min="11780" max="11780" width="10.7109375" style="376" customWidth="1"/>
    <col min="11781" max="11781" width="11.85546875" style="376" customWidth="1"/>
    <col min="11782" max="11782" width="13.5703125" style="376" customWidth="1"/>
    <col min="11783" max="11783" width="14" style="376" customWidth="1"/>
    <col min="11784" max="11784" width="11.7109375" style="376" bestFit="1" customWidth="1"/>
    <col min="11785" max="11785" width="7.7109375" style="376" customWidth="1"/>
    <col min="11786" max="11786" width="10.7109375" style="376" customWidth="1"/>
    <col min="11787" max="12031" width="9.140625" style="376"/>
    <col min="12032" max="12032" width="13.85546875" style="376" customWidth="1"/>
    <col min="12033" max="12033" width="14" style="376" bestFit="1" customWidth="1"/>
    <col min="12034" max="12034" width="11.7109375" style="376" bestFit="1" customWidth="1"/>
    <col min="12035" max="12035" width="7.7109375" style="376" customWidth="1"/>
    <col min="12036" max="12036" width="10.7109375" style="376" customWidth="1"/>
    <col min="12037" max="12037" width="11.85546875" style="376" customWidth="1"/>
    <col min="12038" max="12038" width="13.5703125" style="376" customWidth="1"/>
    <col min="12039" max="12039" width="14" style="376" customWidth="1"/>
    <col min="12040" max="12040" width="11.7109375" style="376" bestFit="1" customWidth="1"/>
    <col min="12041" max="12041" width="7.7109375" style="376" customWidth="1"/>
    <col min="12042" max="12042" width="10.7109375" style="376" customWidth="1"/>
    <col min="12043" max="12287" width="9.140625" style="376"/>
    <col min="12288" max="12288" width="13.85546875" style="376" customWidth="1"/>
    <col min="12289" max="12289" width="14" style="376" bestFit="1" customWidth="1"/>
    <col min="12290" max="12290" width="11.7109375" style="376" bestFit="1" customWidth="1"/>
    <col min="12291" max="12291" width="7.7109375" style="376" customWidth="1"/>
    <col min="12292" max="12292" width="10.7109375" style="376" customWidth="1"/>
    <col min="12293" max="12293" width="11.85546875" style="376" customWidth="1"/>
    <col min="12294" max="12294" width="13.5703125" style="376" customWidth="1"/>
    <col min="12295" max="12295" width="14" style="376" customWidth="1"/>
    <col min="12296" max="12296" width="11.7109375" style="376" bestFit="1" customWidth="1"/>
    <col min="12297" max="12297" width="7.7109375" style="376" customWidth="1"/>
    <col min="12298" max="12298" width="10.7109375" style="376" customWidth="1"/>
    <col min="12299" max="12543" width="9.140625" style="376"/>
    <col min="12544" max="12544" width="13.85546875" style="376" customWidth="1"/>
    <col min="12545" max="12545" width="14" style="376" bestFit="1" customWidth="1"/>
    <col min="12546" max="12546" width="11.7109375" style="376" bestFit="1" customWidth="1"/>
    <col min="12547" max="12547" width="7.7109375" style="376" customWidth="1"/>
    <col min="12548" max="12548" width="10.7109375" style="376" customWidth="1"/>
    <col min="12549" max="12549" width="11.85546875" style="376" customWidth="1"/>
    <col min="12550" max="12550" width="13.5703125" style="376" customWidth="1"/>
    <col min="12551" max="12551" width="14" style="376" customWidth="1"/>
    <col min="12552" max="12552" width="11.7109375" style="376" bestFit="1" customWidth="1"/>
    <col min="12553" max="12553" width="7.7109375" style="376" customWidth="1"/>
    <col min="12554" max="12554" width="10.7109375" style="376" customWidth="1"/>
    <col min="12555" max="12799" width="9.140625" style="376"/>
    <col min="12800" max="12800" width="13.85546875" style="376" customWidth="1"/>
    <col min="12801" max="12801" width="14" style="376" bestFit="1" customWidth="1"/>
    <col min="12802" max="12802" width="11.7109375" style="376" bestFit="1" customWidth="1"/>
    <col min="12803" max="12803" width="7.7109375" style="376" customWidth="1"/>
    <col min="12804" max="12804" width="10.7109375" style="376" customWidth="1"/>
    <col min="12805" max="12805" width="11.85546875" style="376" customWidth="1"/>
    <col min="12806" max="12806" width="13.5703125" style="376" customWidth="1"/>
    <col min="12807" max="12807" width="14" style="376" customWidth="1"/>
    <col min="12808" max="12808" width="11.7109375" style="376" bestFit="1" customWidth="1"/>
    <col min="12809" max="12809" width="7.7109375" style="376" customWidth="1"/>
    <col min="12810" max="12810" width="10.7109375" style="376" customWidth="1"/>
    <col min="12811" max="13055" width="9.140625" style="376"/>
    <col min="13056" max="13056" width="13.85546875" style="376" customWidth="1"/>
    <col min="13057" max="13057" width="14" style="376" bestFit="1" customWidth="1"/>
    <col min="13058" max="13058" width="11.7109375" style="376" bestFit="1" customWidth="1"/>
    <col min="13059" max="13059" width="7.7109375" style="376" customWidth="1"/>
    <col min="13060" max="13060" width="10.7109375" style="376" customWidth="1"/>
    <col min="13061" max="13061" width="11.85546875" style="376" customWidth="1"/>
    <col min="13062" max="13062" width="13.5703125" style="376" customWidth="1"/>
    <col min="13063" max="13063" width="14" style="376" customWidth="1"/>
    <col min="13064" max="13064" width="11.7109375" style="376" bestFit="1" customWidth="1"/>
    <col min="13065" max="13065" width="7.7109375" style="376" customWidth="1"/>
    <col min="13066" max="13066" width="10.7109375" style="376" customWidth="1"/>
    <col min="13067" max="13311" width="9.140625" style="376"/>
    <col min="13312" max="13312" width="13.85546875" style="376" customWidth="1"/>
    <col min="13313" max="13313" width="14" style="376" bestFit="1" customWidth="1"/>
    <col min="13314" max="13314" width="11.7109375" style="376" bestFit="1" customWidth="1"/>
    <col min="13315" max="13315" width="7.7109375" style="376" customWidth="1"/>
    <col min="13316" max="13316" width="10.7109375" style="376" customWidth="1"/>
    <col min="13317" max="13317" width="11.85546875" style="376" customWidth="1"/>
    <col min="13318" max="13318" width="13.5703125" style="376" customWidth="1"/>
    <col min="13319" max="13319" width="14" style="376" customWidth="1"/>
    <col min="13320" max="13320" width="11.7109375" style="376" bestFit="1" customWidth="1"/>
    <col min="13321" max="13321" width="7.7109375" style="376" customWidth="1"/>
    <col min="13322" max="13322" width="10.7109375" style="376" customWidth="1"/>
    <col min="13323" max="13567" width="9.140625" style="376"/>
    <col min="13568" max="13568" width="13.85546875" style="376" customWidth="1"/>
    <col min="13569" max="13569" width="14" style="376" bestFit="1" customWidth="1"/>
    <col min="13570" max="13570" width="11.7109375" style="376" bestFit="1" customWidth="1"/>
    <col min="13571" max="13571" width="7.7109375" style="376" customWidth="1"/>
    <col min="13572" max="13572" width="10.7109375" style="376" customWidth="1"/>
    <col min="13573" max="13573" width="11.85546875" style="376" customWidth="1"/>
    <col min="13574" max="13574" width="13.5703125" style="376" customWidth="1"/>
    <col min="13575" max="13575" width="14" style="376" customWidth="1"/>
    <col min="13576" max="13576" width="11.7109375" style="376" bestFit="1" customWidth="1"/>
    <col min="13577" max="13577" width="7.7109375" style="376" customWidth="1"/>
    <col min="13578" max="13578" width="10.7109375" style="376" customWidth="1"/>
    <col min="13579" max="13823" width="9.140625" style="376"/>
    <col min="13824" max="13824" width="13.85546875" style="376" customWidth="1"/>
    <col min="13825" max="13825" width="14" style="376" bestFit="1" customWidth="1"/>
    <col min="13826" max="13826" width="11.7109375" style="376" bestFit="1" customWidth="1"/>
    <col min="13827" max="13827" width="7.7109375" style="376" customWidth="1"/>
    <col min="13828" max="13828" width="10.7109375" style="376" customWidth="1"/>
    <col min="13829" max="13829" width="11.85546875" style="376" customWidth="1"/>
    <col min="13830" max="13830" width="13.5703125" style="376" customWidth="1"/>
    <col min="13831" max="13831" width="14" style="376" customWidth="1"/>
    <col min="13832" max="13832" width="11.7109375" style="376" bestFit="1" customWidth="1"/>
    <col min="13833" max="13833" width="7.7109375" style="376" customWidth="1"/>
    <col min="13834" max="13834" width="10.7109375" style="376" customWidth="1"/>
    <col min="13835" max="14079" width="9.140625" style="376"/>
    <col min="14080" max="14080" width="13.85546875" style="376" customWidth="1"/>
    <col min="14081" max="14081" width="14" style="376" bestFit="1" customWidth="1"/>
    <col min="14082" max="14082" width="11.7109375" style="376" bestFit="1" customWidth="1"/>
    <col min="14083" max="14083" width="7.7109375" style="376" customWidth="1"/>
    <col min="14084" max="14084" width="10.7109375" style="376" customWidth="1"/>
    <col min="14085" max="14085" width="11.85546875" style="376" customWidth="1"/>
    <col min="14086" max="14086" width="13.5703125" style="376" customWidth="1"/>
    <col min="14087" max="14087" width="14" style="376" customWidth="1"/>
    <col min="14088" max="14088" width="11.7109375" style="376" bestFit="1" customWidth="1"/>
    <col min="14089" max="14089" width="7.7109375" style="376" customWidth="1"/>
    <col min="14090" max="14090" width="10.7109375" style="376" customWidth="1"/>
    <col min="14091" max="14335" width="9.140625" style="376"/>
    <col min="14336" max="14336" width="13.85546875" style="376" customWidth="1"/>
    <col min="14337" max="14337" width="14" style="376" bestFit="1" customWidth="1"/>
    <col min="14338" max="14338" width="11.7109375" style="376" bestFit="1" customWidth="1"/>
    <col min="14339" max="14339" width="7.7109375" style="376" customWidth="1"/>
    <col min="14340" max="14340" width="10.7109375" style="376" customWidth="1"/>
    <col min="14341" max="14341" width="11.85546875" style="376" customWidth="1"/>
    <col min="14342" max="14342" width="13.5703125" style="376" customWidth="1"/>
    <col min="14343" max="14343" width="14" style="376" customWidth="1"/>
    <col min="14344" max="14344" width="11.7109375" style="376" bestFit="1" customWidth="1"/>
    <col min="14345" max="14345" width="7.7109375" style="376" customWidth="1"/>
    <col min="14346" max="14346" width="10.7109375" style="376" customWidth="1"/>
    <col min="14347" max="14591" width="9.140625" style="376"/>
    <col min="14592" max="14592" width="13.85546875" style="376" customWidth="1"/>
    <col min="14593" max="14593" width="14" style="376" bestFit="1" customWidth="1"/>
    <col min="14594" max="14594" width="11.7109375" style="376" bestFit="1" customWidth="1"/>
    <col min="14595" max="14595" width="7.7109375" style="376" customWidth="1"/>
    <col min="14596" max="14596" width="10.7109375" style="376" customWidth="1"/>
    <col min="14597" max="14597" width="11.85546875" style="376" customWidth="1"/>
    <col min="14598" max="14598" width="13.5703125" style="376" customWidth="1"/>
    <col min="14599" max="14599" width="14" style="376" customWidth="1"/>
    <col min="14600" max="14600" width="11.7109375" style="376" bestFit="1" customWidth="1"/>
    <col min="14601" max="14601" width="7.7109375" style="376" customWidth="1"/>
    <col min="14602" max="14602" width="10.7109375" style="376" customWidth="1"/>
    <col min="14603" max="14847" width="9.140625" style="376"/>
    <col min="14848" max="14848" width="13.85546875" style="376" customWidth="1"/>
    <col min="14849" max="14849" width="14" style="376" bestFit="1" customWidth="1"/>
    <col min="14850" max="14850" width="11.7109375" style="376" bestFit="1" customWidth="1"/>
    <col min="14851" max="14851" width="7.7109375" style="376" customWidth="1"/>
    <col min="14852" max="14852" width="10.7109375" style="376" customWidth="1"/>
    <col min="14853" max="14853" width="11.85546875" style="376" customWidth="1"/>
    <col min="14854" max="14854" width="13.5703125" style="376" customWidth="1"/>
    <col min="14855" max="14855" width="14" style="376" customWidth="1"/>
    <col min="14856" max="14856" width="11.7109375" style="376" bestFit="1" customWidth="1"/>
    <col min="14857" max="14857" width="7.7109375" style="376" customWidth="1"/>
    <col min="14858" max="14858" width="10.7109375" style="376" customWidth="1"/>
    <col min="14859" max="15103" width="9.140625" style="376"/>
    <col min="15104" max="15104" width="13.85546875" style="376" customWidth="1"/>
    <col min="15105" max="15105" width="14" style="376" bestFit="1" customWidth="1"/>
    <col min="15106" max="15106" width="11.7109375" style="376" bestFit="1" customWidth="1"/>
    <col min="15107" max="15107" width="7.7109375" style="376" customWidth="1"/>
    <col min="15108" max="15108" width="10.7109375" style="376" customWidth="1"/>
    <col min="15109" max="15109" width="11.85546875" style="376" customWidth="1"/>
    <col min="15110" max="15110" width="13.5703125" style="376" customWidth="1"/>
    <col min="15111" max="15111" width="14" style="376" customWidth="1"/>
    <col min="15112" max="15112" width="11.7109375" style="376" bestFit="1" customWidth="1"/>
    <col min="15113" max="15113" width="7.7109375" style="376" customWidth="1"/>
    <col min="15114" max="15114" width="10.7109375" style="376" customWidth="1"/>
    <col min="15115" max="15359" width="9.140625" style="376"/>
    <col min="15360" max="15360" width="13.85546875" style="376" customWidth="1"/>
    <col min="15361" max="15361" width="14" style="376" bestFit="1" customWidth="1"/>
    <col min="15362" max="15362" width="11.7109375" style="376" bestFit="1" customWidth="1"/>
    <col min="15363" max="15363" width="7.7109375" style="376" customWidth="1"/>
    <col min="15364" max="15364" width="10.7109375" style="376" customWidth="1"/>
    <col min="15365" max="15365" width="11.85546875" style="376" customWidth="1"/>
    <col min="15366" max="15366" width="13.5703125" style="376" customWidth="1"/>
    <col min="15367" max="15367" width="14" style="376" customWidth="1"/>
    <col min="15368" max="15368" width="11.7109375" style="376" bestFit="1" customWidth="1"/>
    <col min="15369" max="15369" width="7.7109375" style="376" customWidth="1"/>
    <col min="15370" max="15370" width="10.7109375" style="376" customWidth="1"/>
    <col min="15371" max="15615" width="9.140625" style="376"/>
    <col min="15616" max="15616" width="13.85546875" style="376" customWidth="1"/>
    <col min="15617" max="15617" width="14" style="376" bestFit="1" customWidth="1"/>
    <col min="15618" max="15618" width="11.7109375" style="376" bestFit="1" customWidth="1"/>
    <col min="15619" max="15619" width="7.7109375" style="376" customWidth="1"/>
    <col min="15620" max="15620" width="10.7109375" style="376" customWidth="1"/>
    <col min="15621" max="15621" width="11.85546875" style="376" customWidth="1"/>
    <col min="15622" max="15622" width="13.5703125" style="376" customWidth="1"/>
    <col min="15623" max="15623" width="14" style="376" customWidth="1"/>
    <col min="15624" max="15624" width="11.7109375" style="376" bestFit="1" customWidth="1"/>
    <col min="15625" max="15625" width="7.7109375" style="376" customWidth="1"/>
    <col min="15626" max="15626" width="10.7109375" style="376" customWidth="1"/>
    <col min="15627" max="15871" width="9.140625" style="376"/>
    <col min="15872" max="15872" width="13.85546875" style="376" customWidth="1"/>
    <col min="15873" max="15873" width="14" style="376" bestFit="1" customWidth="1"/>
    <col min="15874" max="15874" width="11.7109375" style="376" bestFit="1" customWidth="1"/>
    <col min="15875" max="15875" width="7.7109375" style="376" customWidth="1"/>
    <col min="15876" max="15876" width="10.7109375" style="376" customWidth="1"/>
    <col min="15877" max="15877" width="11.85546875" style="376" customWidth="1"/>
    <col min="15878" max="15878" width="13.5703125" style="376" customWidth="1"/>
    <col min="15879" max="15879" width="14" style="376" customWidth="1"/>
    <col min="15880" max="15880" width="11.7109375" style="376" bestFit="1" customWidth="1"/>
    <col min="15881" max="15881" width="7.7109375" style="376" customWidth="1"/>
    <col min="15882" max="15882" width="10.7109375" style="376" customWidth="1"/>
    <col min="15883" max="16127" width="9.140625" style="376"/>
    <col min="16128" max="16128" width="13.85546875" style="376" customWidth="1"/>
    <col min="16129" max="16129" width="14" style="376" bestFit="1" customWidth="1"/>
    <col min="16130" max="16130" width="11.7109375" style="376" bestFit="1" customWidth="1"/>
    <col min="16131" max="16131" width="7.7109375" style="376" customWidth="1"/>
    <col min="16132" max="16132" width="10.7109375" style="376" customWidth="1"/>
    <col min="16133" max="16133" width="11.85546875" style="376" customWidth="1"/>
    <col min="16134" max="16134" width="13.5703125" style="376" customWidth="1"/>
    <col min="16135" max="16135" width="14" style="376" customWidth="1"/>
    <col min="16136" max="16136" width="11.7109375" style="376" bestFit="1" customWidth="1"/>
    <col min="16137" max="16137" width="7.7109375" style="376" customWidth="1"/>
    <col min="16138" max="16138" width="10.7109375" style="376" customWidth="1"/>
    <col min="16139" max="16384" width="9.140625" style="376"/>
  </cols>
  <sheetData>
    <row r="1" spans="1:14" ht="15" thickBot="1">
      <c r="A1" s="374"/>
      <c r="B1" s="374"/>
      <c r="C1" s="374"/>
      <c r="D1" s="374"/>
      <c r="E1" s="374"/>
      <c r="G1" s="374"/>
      <c r="H1" s="374"/>
      <c r="I1" s="374"/>
      <c r="J1" s="374"/>
      <c r="K1" s="374"/>
    </row>
    <row r="2" spans="1:14">
      <c r="A2" s="377" t="s">
        <v>719</v>
      </c>
      <c r="B2" s="378">
        <v>0</v>
      </c>
      <c r="C2" s="379" t="s">
        <v>720</v>
      </c>
      <c r="D2" s="380">
        <v>28.8</v>
      </c>
      <c r="E2" s="381">
        <f>B2*D2</f>
        <v>0</v>
      </c>
      <c r="G2" s="377" t="s">
        <v>551</v>
      </c>
      <c r="H2" s="378">
        <v>0</v>
      </c>
      <c r="I2" s="379" t="s">
        <v>720</v>
      </c>
      <c r="J2" s="380">
        <v>29.16</v>
      </c>
      <c r="K2" s="381">
        <f>J2*H2</f>
        <v>0</v>
      </c>
    </row>
    <row r="3" spans="1:14" ht="22.5">
      <c r="A3" s="382" t="s">
        <v>721</v>
      </c>
      <c r="B3" s="383" t="s">
        <v>722</v>
      </c>
      <c r="C3" s="559" t="s">
        <v>723</v>
      </c>
      <c r="D3" s="559"/>
      <c r="E3" s="560"/>
      <c r="G3" s="382" t="s">
        <v>721</v>
      </c>
      <c r="H3" s="383" t="s">
        <v>722</v>
      </c>
      <c r="I3" s="559" t="s">
        <v>723</v>
      </c>
      <c r="J3" s="559"/>
      <c r="K3" s="560"/>
    </row>
    <row r="4" spans="1:14">
      <c r="A4" s="384" t="s">
        <v>560</v>
      </c>
      <c r="B4" s="385">
        <v>100</v>
      </c>
      <c r="C4" s="561">
        <f>1825*B4/100*$B$2</f>
        <v>0</v>
      </c>
      <c r="D4" s="562"/>
      <c r="E4" s="563"/>
      <c r="G4" s="384" t="s">
        <v>560</v>
      </c>
      <c r="H4" s="385">
        <v>100</v>
      </c>
      <c r="I4" s="561">
        <f>1460*H4/100*$H$2</f>
        <v>0</v>
      </c>
      <c r="J4" s="564"/>
      <c r="K4" s="565"/>
    </row>
    <row r="5" spans="1:14">
      <c r="A5" s="384" t="s">
        <v>724</v>
      </c>
      <c r="B5" s="385">
        <v>0</v>
      </c>
      <c r="C5" s="561">
        <f t="shared" ref="C5:C12" si="0">1825*B5/100*$B$2</f>
        <v>0</v>
      </c>
      <c r="D5" s="562"/>
      <c r="E5" s="563"/>
      <c r="G5" s="384" t="s">
        <v>724</v>
      </c>
      <c r="H5" s="385">
        <v>0</v>
      </c>
      <c r="I5" s="561">
        <f t="shared" ref="I5:I17" si="1">1460*H5/100*$H$2</f>
        <v>0</v>
      </c>
      <c r="J5" s="564"/>
      <c r="K5" s="565"/>
    </row>
    <row r="6" spans="1:14">
      <c r="A6" s="384" t="s">
        <v>558</v>
      </c>
      <c r="B6" s="385">
        <v>0</v>
      </c>
      <c r="C6" s="561">
        <f t="shared" si="0"/>
        <v>0</v>
      </c>
      <c r="D6" s="562"/>
      <c r="E6" s="563"/>
      <c r="G6" s="384" t="s">
        <v>558</v>
      </c>
      <c r="H6" s="385">
        <v>0</v>
      </c>
      <c r="I6" s="561">
        <f t="shared" si="1"/>
        <v>0</v>
      </c>
      <c r="J6" s="564"/>
      <c r="K6" s="565"/>
    </row>
    <row r="7" spans="1:14">
      <c r="A7" s="384" t="s">
        <v>567</v>
      </c>
      <c r="B7" s="385">
        <v>0</v>
      </c>
      <c r="C7" s="561">
        <f t="shared" si="0"/>
        <v>0</v>
      </c>
      <c r="D7" s="562"/>
      <c r="E7" s="563"/>
      <c r="G7" s="384" t="s">
        <v>567</v>
      </c>
      <c r="H7" s="385">
        <v>0</v>
      </c>
      <c r="I7" s="561">
        <f t="shared" si="1"/>
        <v>0</v>
      </c>
      <c r="J7" s="564"/>
      <c r="K7" s="565"/>
    </row>
    <row r="8" spans="1:14">
      <c r="A8" s="384" t="s">
        <v>566</v>
      </c>
      <c r="B8" s="385">
        <v>0</v>
      </c>
      <c r="C8" s="561">
        <f t="shared" si="0"/>
        <v>0</v>
      </c>
      <c r="D8" s="562"/>
      <c r="E8" s="563"/>
      <c r="G8" s="384" t="s">
        <v>566</v>
      </c>
      <c r="H8" s="385">
        <v>0</v>
      </c>
      <c r="I8" s="561">
        <f t="shared" si="1"/>
        <v>0</v>
      </c>
      <c r="J8" s="564"/>
      <c r="K8" s="565"/>
    </row>
    <row r="9" spans="1:14">
      <c r="A9" s="384" t="s">
        <v>557</v>
      </c>
      <c r="B9" s="385">
        <v>0</v>
      </c>
      <c r="C9" s="561">
        <f t="shared" si="0"/>
        <v>0</v>
      </c>
      <c r="D9" s="562"/>
      <c r="E9" s="563"/>
      <c r="G9" s="384" t="s">
        <v>557</v>
      </c>
      <c r="H9" s="385">
        <v>0</v>
      </c>
      <c r="I9" s="561">
        <f t="shared" si="1"/>
        <v>0</v>
      </c>
      <c r="J9" s="564"/>
      <c r="K9" s="565"/>
    </row>
    <row r="10" spans="1:14">
      <c r="A10" s="384" t="s">
        <v>561</v>
      </c>
      <c r="B10" s="385">
        <v>0</v>
      </c>
      <c r="C10" s="561">
        <f t="shared" si="0"/>
        <v>0</v>
      </c>
      <c r="D10" s="562"/>
      <c r="E10" s="563"/>
      <c r="G10" s="384" t="s">
        <v>561</v>
      </c>
      <c r="H10" s="385">
        <v>0</v>
      </c>
      <c r="I10" s="561">
        <f t="shared" si="1"/>
        <v>0</v>
      </c>
      <c r="J10" s="564"/>
      <c r="K10" s="565"/>
    </row>
    <row r="11" spans="1:14">
      <c r="A11" s="384" t="s">
        <v>563</v>
      </c>
      <c r="B11" s="385">
        <v>0</v>
      </c>
      <c r="C11" s="561">
        <f t="shared" si="0"/>
        <v>0</v>
      </c>
      <c r="D11" s="562"/>
      <c r="E11" s="563"/>
      <c r="G11" s="384" t="s">
        <v>563</v>
      </c>
      <c r="H11" s="385">
        <v>0</v>
      </c>
      <c r="I11" s="561">
        <f t="shared" si="1"/>
        <v>0</v>
      </c>
      <c r="J11" s="564"/>
      <c r="K11" s="565"/>
    </row>
    <row r="12" spans="1:14">
      <c r="A12" s="386"/>
      <c r="B12" s="385">
        <v>0</v>
      </c>
      <c r="C12" s="561">
        <f t="shared" si="0"/>
        <v>0</v>
      </c>
      <c r="D12" s="562"/>
      <c r="E12" s="563"/>
      <c r="G12" s="386"/>
      <c r="H12" s="385">
        <v>0</v>
      </c>
      <c r="I12" s="561">
        <f>1460*H12/100*$H$2</f>
        <v>0</v>
      </c>
      <c r="J12" s="564"/>
      <c r="K12" s="565"/>
    </row>
    <row r="13" spans="1:14">
      <c r="A13" s="384" t="s">
        <v>725</v>
      </c>
      <c r="B13" s="385">
        <v>0</v>
      </c>
      <c r="C13" s="561">
        <f>1825*B13/100*$B$2</f>
        <v>0</v>
      </c>
      <c r="D13" s="562"/>
      <c r="E13" s="563"/>
      <c r="G13" s="384" t="s">
        <v>725</v>
      </c>
      <c r="H13" s="385">
        <v>0</v>
      </c>
      <c r="I13" s="561">
        <f t="shared" si="1"/>
        <v>0</v>
      </c>
      <c r="J13" s="564"/>
      <c r="K13" s="565"/>
      <c r="N13" s="376" t="s">
        <v>726</v>
      </c>
    </row>
    <row r="14" spans="1:14">
      <c r="A14" s="384" t="s">
        <v>532</v>
      </c>
      <c r="B14" s="385">
        <v>0</v>
      </c>
      <c r="C14" s="561">
        <f>5475*B14/100*$B$2</f>
        <v>0</v>
      </c>
      <c r="D14" s="564"/>
      <c r="E14" s="565"/>
      <c r="G14" s="384" t="s">
        <v>532</v>
      </c>
      <c r="H14" s="385">
        <v>0</v>
      </c>
      <c r="I14" s="561">
        <f t="shared" si="1"/>
        <v>0</v>
      </c>
      <c r="J14" s="564"/>
      <c r="K14" s="565"/>
      <c r="N14" s="376" t="s">
        <v>727</v>
      </c>
    </row>
    <row r="15" spans="1:14">
      <c r="A15" s="384" t="s">
        <v>728</v>
      </c>
      <c r="B15" s="385">
        <v>0</v>
      </c>
      <c r="C15" s="561">
        <f t="shared" ref="C15:C16" si="2">5475*B15/100*$B$2</f>
        <v>0</v>
      </c>
      <c r="D15" s="564"/>
      <c r="E15" s="565"/>
      <c r="G15" s="384" t="s">
        <v>728</v>
      </c>
      <c r="H15" s="385">
        <v>0</v>
      </c>
      <c r="I15" s="561">
        <f t="shared" si="1"/>
        <v>0</v>
      </c>
      <c r="J15" s="564"/>
      <c r="K15" s="565"/>
    </row>
    <row r="16" spans="1:14">
      <c r="A16" s="384" t="s">
        <v>729</v>
      </c>
      <c r="B16" s="385">
        <v>100</v>
      </c>
      <c r="C16" s="561">
        <f t="shared" si="2"/>
        <v>0</v>
      </c>
      <c r="D16" s="564"/>
      <c r="E16" s="565"/>
      <c r="G16" s="384" t="s">
        <v>729</v>
      </c>
      <c r="H16" s="385">
        <v>100</v>
      </c>
      <c r="I16" s="561">
        <f t="shared" si="1"/>
        <v>0</v>
      </c>
      <c r="J16" s="564"/>
      <c r="K16" s="565"/>
    </row>
    <row r="17" spans="1:11" ht="15" thickBot="1">
      <c r="A17" s="387" t="s">
        <v>730</v>
      </c>
      <c r="B17" s="388">
        <v>0</v>
      </c>
      <c r="C17" s="566">
        <f>5475*B17/100*$B$2</f>
        <v>0</v>
      </c>
      <c r="D17" s="567"/>
      <c r="E17" s="568"/>
      <c r="G17" s="387" t="s">
        <v>730</v>
      </c>
      <c r="H17" s="388">
        <v>0</v>
      </c>
      <c r="I17" s="566">
        <f t="shared" si="1"/>
        <v>0</v>
      </c>
      <c r="J17" s="567"/>
      <c r="K17" s="568"/>
    </row>
    <row r="18" spans="1:11">
      <c r="A18" s="374"/>
      <c r="B18" s="374">
        <f>SUM(B4:B13)</f>
        <v>100</v>
      </c>
      <c r="C18" s="374" t="s">
        <v>731</v>
      </c>
      <c r="D18" s="374"/>
      <c r="E18" s="374"/>
      <c r="G18" s="374"/>
      <c r="H18" s="374">
        <f>SUM(H4:H13)</f>
        <v>100</v>
      </c>
      <c r="I18" s="374" t="s">
        <v>731</v>
      </c>
      <c r="J18" s="374"/>
      <c r="K18" s="374"/>
    </row>
    <row r="19" spans="1:11" ht="15" thickBot="1">
      <c r="A19" s="374"/>
      <c r="B19" s="374">
        <f>SUM(B14:B17)</f>
        <v>100</v>
      </c>
      <c r="C19" s="374" t="s">
        <v>731</v>
      </c>
      <c r="D19" s="374"/>
      <c r="E19" s="374"/>
      <c r="G19" s="374"/>
      <c r="H19" s="374">
        <f>SUM(H14:H17)</f>
        <v>100</v>
      </c>
      <c r="I19" s="374" t="s">
        <v>731</v>
      </c>
      <c r="J19" s="374"/>
      <c r="K19" s="374"/>
    </row>
    <row r="20" spans="1:11">
      <c r="A20" s="389" t="s">
        <v>732</v>
      </c>
      <c r="B20" s="378">
        <v>150</v>
      </c>
      <c r="C20" s="390" t="s">
        <v>733</v>
      </c>
      <c r="D20" s="378">
        <v>550</v>
      </c>
      <c r="E20" s="391">
        <f>(D20-B20)*3.6</f>
        <v>1440</v>
      </c>
      <c r="G20" s="389" t="s">
        <v>732</v>
      </c>
      <c r="H20" s="378">
        <v>10</v>
      </c>
      <c r="I20" s="390" t="s">
        <v>733</v>
      </c>
      <c r="J20" s="378">
        <v>25</v>
      </c>
      <c r="K20" s="392">
        <f>(J20-H20)*2.1</f>
        <v>31.5</v>
      </c>
    </row>
    <row r="21" spans="1:11">
      <c r="A21" s="393" t="s">
        <v>552</v>
      </c>
      <c r="B21" s="394">
        <v>0</v>
      </c>
      <c r="C21" s="395" t="s">
        <v>720</v>
      </c>
      <c r="D21" s="396">
        <v>18.239999999999998</v>
      </c>
      <c r="E21" s="397">
        <f>D21*B21</f>
        <v>0</v>
      </c>
      <c r="G21" s="393" t="s">
        <v>734</v>
      </c>
      <c r="H21" s="394">
        <v>0</v>
      </c>
      <c r="I21" s="395" t="s">
        <v>720</v>
      </c>
      <c r="J21" s="396">
        <v>4</v>
      </c>
      <c r="K21" s="397">
        <f>J21*H21</f>
        <v>0</v>
      </c>
    </row>
    <row r="22" spans="1:11" ht="22.5">
      <c r="A22" s="382" t="s">
        <v>721</v>
      </c>
      <c r="B22" s="383" t="s">
        <v>722</v>
      </c>
      <c r="C22" s="559" t="s">
        <v>723</v>
      </c>
      <c r="D22" s="559"/>
      <c r="E22" s="560"/>
      <c r="G22" s="382" t="s">
        <v>721</v>
      </c>
      <c r="H22" s="383" t="s">
        <v>722</v>
      </c>
      <c r="I22" s="559" t="s">
        <v>723</v>
      </c>
      <c r="J22" s="559"/>
      <c r="K22" s="560"/>
    </row>
    <row r="23" spans="1:11">
      <c r="A23" s="384" t="s">
        <v>560</v>
      </c>
      <c r="B23" s="385">
        <v>100</v>
      </c>
      <c r="C23" s="561">
        <f>$E$20*B23/100*$B$21</f>
        <v>0</v>
      </c>
      <c r="D23" s="564"/>
      <c r="E23" s="565"/>
      <c r="G23" s="384" t="s">
        <v>560</v>
      </c>
      <c r="H23" s="385">
        <v>100</v>
      </c>
      <c r="I23" s="569">
        <f>$K$20*H23/100*$H$21</f>
        <v>0</v>
      </c>
      <c r="J23" s="569"/>
      <c r="K23" s="570"/>
    </row>
    <row r="24" spans="1:11">
      <c r="A24" s="384" t="s">
        <v>724</v>
      </c>
      <c r="B24" s="385">
        <v>0</v>
      </c>
      <c r="C24" s="561">
        <f t="shared" ref="C24:C31" si="3">$E$20*B24/100*$B$21</f>
        <v>0</v>
      </c>
      <c r="D24" s="564"/>
      <c r="E24" s="565"/>
      <c r="G24" s="384" t="s">
        <v>724</v>
      </c>
      <c r="H24" s="385">
        <v>0</v>
      </c>
      <c r="I24" s="569">
        <f t="shared" ref="I24:I34" si="4">$K$20*H24/100*$H$21</f>
        <v>0</v>
      </c>
      <c r="J24" s="569"/>
      <c r="K24" s="570"/>
    </row>
    <row r="25" spans="1:11">
      <c r="A25" s="384" t="s">
        <v>558</v>
      </c>
      <c r="B25" s="385">
        <v>0</v>
      </c>
      <c r="C25" s="561">
        <f t="shared" si="3"/>
        <v>0</v>
      </c>
      <c r="D25" s="564"/>
      <c r="E25" s="565"/>
      <c r="G25" s="384" t="s">
        <v>558</v>
      </c>
      <c r="H25" s="385">
        <v>0</v>
      </c>
      <c r="I25" s="569">
        <f t="shared" si="4"/>
        <v>0</v>
      </c>
      <c r="J25" s="569"/>
      <c r="K25" s="570"/>
    </row>
    <row r="26" spans="1:11">
      <c r="A26" s="384" t="s">
        <v>567</v>
      </c>
      <c r="B26" s="385">
        <v>0</v>
      </c>
      <c r="C26" s="561">
        <f t="shared" si="3"/>
        <v>0</v>
      </c>
      <c r="D26" s="564"/>
      <c r="E26" s="565"/>
      <c r="G26" s="384" t="s">
        <v>567</v>
      </c>
      <c r="H26" s="385">
        <v>0</v>
      </c>
      <c r="I26" s="569">
        <f t="shared" si="4"/>
        <v>0</v>
      </c>
      <c r="J26" s="569"/>
      <c r="K26" s="570"/>
    </row>
    <row r="27" spans="1:11">
      <c r="A27" s="384" t="s">
        <v>566</v>
      </c>
      <c r="B27" s="385">
        <v>0</v>
      </c>
      <c r="C27" s="561">
        <f t="shared" si="3"/>
        <v>0</v>
      </c>
      <c r="D27" s="564"/>
      <c r="E27" s="565"/>
      <c r="G27" s="384" t="s">
        <v>566</v>
      </c>
      <c r="H27" s="385">
        <v>0</v>
      </c>
      <c r="I27" s="569">
        <f t="shared" si="4"/>
        <v>0</v>
      </c>
      <c r="J27" s="569"/>
      <c r="K27" s="570"/>
    </row>
    <row r="28" spans="1:11">
      <c r="A28" s="384" t="s">
        <v>557</v>
      </c>
      <c r="B28" s="385">
        <v>0</v>
      </c>
      <c r="C28" s="561">
        <f t="shared" si="3"/>
        <v>0</v>
      </c>
      <c r="D28" s="564"/>
      <c r="E28" s="565"/>
      <c r="G28" s="384" t="s">
        <v>557</v>
      </c>
      <c r="H28" s="385">
        <v>0</v>
      </c>
      <c r="I28" s="569">
        <f t="shared" si="4"/>
        <v>0</v>
      </c>
      <c r="J28" s="569"/>
      <c r="K28" s="570"/>
    </row>
    <row r="29" spans="1:11">
      <c r="A29" s="384" t="s">
        <v>561</v>
      </c>
      <c r="B29" s="385">
        <v>0</v>
      </c>
      <c r="C29" s="561">
        <f t="shared" si="3"/>
        <v>0</v>
      </c>
      <c r="D29" s="564"/>
      <c r="E29" s="565"/>
      <c r="G29" s="384" t="s">
        <v>561</v>
      </c>
      <c r="H29" s="385">
        <v>0</v>
      </c>
      <c r="I29" s="569">
        <f t="shared" si="4"/>
        <v>0</v>
      </c>
      <c r="J29" s="569"/>
      <c r="K29" s="570"/>
    </row>
    <row r="30" spans="1:11">
      <c r="A30" s="384" t="s">
        <v>563</v>
      </c>
      <c r="B30" s="385">
        <v>0</v>
      </c>
      <c r="C30" s="561">
        <f t="shared" si="3"/>
        <v>0</v>
      </c>
      <c r="D30" s="564"/>
      <c r="E30" s="565"/>
      <c r="G30" s="384" t="s">
        <v>563</v>
      </c>
      <c r="H30" s="385">
        <v>0</v>
      </c>
      <c r="I30" s="569">
        <f t="shared" si="4"/>
        <v>0</v>
      </c>
      <c r="J30" s="569"/>
      <c r="K30" s="570"/>
    </row>
    <row r="31" spans="1:11">
      <c r="A31" s="384" t="s">
        <v>735</v>
      </c>
      <c r="B31" s="385">
        <v>0</v>
      </c>
      <c r="C31" s="561">
        <f t="shared" si="3"/>
        <v>0</v>
      </c>
      <c r="D31" s="564"/>
      <c r="E31" s="565"/>
      <c r="G31" s="386"/>
      <c r="H31" s="385">
        <v>0</v>
      </c>
      <c r="I31" s="569">
        <f t="shared" si="4"/>
        <v>0</v>
      </c>
      <c r="J31" s="569"/>
      <c r="K31" s="570"/>
    </row>
    <row r="32" spans="1:11">
      <c r="A32" s="384" t="s">
        <v>532</v>
      </c>
      <c r="B32" s="385">
        <v>0</v>
      </c>
      <c r="C32" s="561">
        <f>$E$20*B32/100*$B$21*2.7</f>
        <v>0</v>
      </c>
      <c r="D32" s="562"/>
      <c r="E32" s="563"/>
      <c r="G32" s="386"/>
      <c r="H32" s="385">
        <v>0</v>
      </c>
      <c r="I32" s="569">
        <f t="shared" si="4"/>
        <v>0</v>
      </c>
      <c r="J32" s="569"/>
      <c r="K32" s="570"/>
    </row>
    <row r="33" spans="1:11">
      <c r="A33" s="384" t="s">
        <v>728</v>
      </c>
      <c r="B33" s="385">
        <v>0</v>
      </c>
      <c r="C33" s="561">
        <f t="shared" ref="C33:C34" si="5">$E$20*B33/100*$B$21*2.7</f>
        <v>0</v>
      </c>
      <c r="D33" s="562"/>
      <c r="E33" s="563"/>
      <c r="G33" s="386"/>
      <c r="H33" s="385">
        <v>0</v>
      </c>
      <c r="I33" s="569">
        <f t="shared" si="4"/>
        <v>0</v>
      </c>
      <c r="J33" s="569"/>
      <c r="K33" s="570"/>
    </row>
    <row r="34" spans="1:11" ht="15" thickBot="1">
      <c r="A34" s="384" t="s">
        <v>729</v>
      </c>
      <c r="B34" s="385">
        <v>100</v>
      </c>
      <c r="C34" s="561">
        <f t="shared" si="5"/>
        <v>0</v>
      </c>
      <c r="D34" s="562"/>
      <c r="E34" s="563"/>
      <c r="G34" s="398" t="s">
        <v>736</v>
      </c>
      <c r="H34" s="399">
        <v>0</v>
      </c>
      <c r="I34" s="571">
        <f t="shared" si="4"/>
        <v>0</v>
      </c>
      <c r="J34" s="571"/>
      <c r="K34" s="572"/>
    </row>
    <row r="35" spans="1:11" ht="15" thickBot="1">
      <c r="A35" s="387" t="s">
        <v>730</v>
      </c>
      <c r="B35" s="388">
        <v>0</v>
      </c>
      <c r="C35" s="566">
        <f>$E$20*B35/100*$B$21*2.7</f>
        <v>0</v>
      </c>
      <c r="D35" s="573"/>
      <c r="E35" s="574"/>
      <c r="G35" s="374"/>
      <c r="H35" s="374">
        <f>SUM(H23:H34)</f>
        <v>100</v>
      </c>
      <c r="I35" s="374" t="s">
        <v>731</v>
      </c>
      <c r="J35" s="374"/>
      <c r="K35" s="374"/>
    </row>
    <row r="36" spans="1:11" ht="15" thickBot="1">
      <c r="A36" s="374"/>
      <c r="B36" s="374">
        <f>SUM(B23:B31)</f>
        <v>100</v>
      </c>
      <c r="C36" s="374" t="s">
        <v>731</v>
      </c>
      <c r="D36" s="374"/>
      <c r="E36" s="374"/>
      <c r="G36" s="374"/>
      <c r="H36" s="374"/>
      <c r="I36" s="374"/>
      <c r="J36" s="374"/>
      <c r="K36" s="374"/>
    </row>
    <row r="37" spans="1:11" ht="15" thickBot="1">
      <c r="A37" s="374"/>
      <c r="B37" s="374">
        <f>SUM(B32:B35)</f>
        <v>100</v>
      </c>
      <c r="C37" s="374" t="s">
        <v>731</v>
      </c>
      <c r="D37" s="374"/>
      <c r="E37" s="374"/>
      <c r="G37" s="389" t="s">
        <v>732</v>
      </c>
      <c r="H37" s="378">
        <v>25</v>
      </c>
      <c r="I37" s="390" t="s">
        <v>733</v>
      </c>
      <c r="J37" s="378">
        <v>110</v>
      </c>
      <c r="K37" s="392">
        <f>(J37-H37)*3.5</f>
        <v>297.5</v>
      </c>
    </row>
    <row r="38" spans="1:11">
      <c r="A38" s="377" t="s">
        <v>550</v>
      </c>
      <c r="B38" s="378">
        <v>0</v>
      </c>
      <c r="C38" s="379" t="s">
        <v>720</v>
      </c>
      <c r="D38" s="380">
        <v>39.36</v>
      </c>
      <c r="E38" s="381">
        <f>D38*B38</f>
        <v>0</v>
      </c>
      <c r="G38" s="393" t="s">
        <v>737</v>
      </c>
      <c r="H38" s="394">
        <v>0</v>
      </c>
      <c r="I38" s="395" t="s">
        <v>720</v>
      </c>
      <c r="J38" s="400">
        <v>3</v>
      </c>
      <c r="K38" s="397">
        <f>J38*H38</f>
        <v>0</v>
      </c>
    </row>
    <row r="39" spans="1:11" ht="22.5">
      <c r="A39" s="382" t="s">
        <v>721</v>
      </c>
      <c r="B39" s="383" t="s">
        <v>722</v>
      </c>
      <c r="C39" s="559" t="s">
        <v>723</v>
      </c>
      <c r="D39" s="559"/>
      <c r="E39" s="560"/>
      <c r="G39" s="382" t="s">
        <v>721</v>
      </c>
      <c r="H39" s="383" t="s">
        <v>722</v>
      </c>
      <c r="I39" s="559" t="s">
        <v>723</v>
      </c>
      <c r="J39" s="559"/>
      <c r="K39" s="560"/>
    </row>
    <row r="40" spans="1:11">
      <c r="A40" s="384" t="s">
        <v>560</v>
      </c>
      <c r="B40" s="385">
        <v>100</v>
      </c>
      <c r="C40" s="561">
        <f>1095*B40/100*$B$38</f>
        <v>0</v>
      </c>
      <c r="D40" s="564"/>
      <c r="E40" s="565"/>
      <c r="G40" s="384" t="s">
        <v>560</v>
      </c>
      <c r="H40" s="385">
        <v>100</v>
      </c>
      <c r="I40" s="569">
        <f>$K$37*H40/100*$H$38</f>
        <v>0</v>
      </c>
      <c r="J40" s="569"/>
      <c r="K40" s="570"/>
    </row>
    <row r="41" spans="1:11">
      <c r="A41" s="384" t="s">
        <v>724</v>
      </c>
      <c r="B41" s="385">
        <v>0</v>
      </c>
      <c r="C41" s="561">
        <f>1095*B41/100*$B$38</f>
        <v>0</v>
      </c>
      <c r="D41" s="564"/>
      <c r="E41" s="565"/>
      <c r="G41" s="384" t="s">
        <v>724</v>
      </c>
      <c r="H41" s="385">
        <v>0</v>
      </c>
      <c r="I41" s="569">
        <f t="shared" ref="I41:I49" si="6">$K$37*H41/100*$H$38</f>
        <v>0</v>
      </c>
      <c r="J41" s="569"/>
      <c r="K41" s="570"/>
    </row>
    <row r="42" spans="1:11">
      <c r="A42" s="384" t="s">
        <v>558</v>
      </c>
      <c r="B42" s="385">
        <v>0</v>
      </c>
      <c r="C42" s="561">
        <f t="shared" ref="C42:C48" si="7">1095*B42/100*$B$38</f>
        <v>0</v>
      </c>
      <c r="D42" s="564"/>
      <c r="E42" s="565"/>
      <c r="G42" s="384" t="s">
        <v>558</v>
      </c>
      <c r="H42" s="385">
        <v>0</v>
      </c>
      <c r="I42" s="569">
        <f t="shared" si="6"/>
        <v>0</v>
      </c>
      <c r="J42" s="569"/>
      <c r="K42" s="570"/>
    </row>
    <row r="43" spans="1:11">
      <c r="A43" s="384" t="s">
        <v>567</v>
      </c>
      <c r="B43" s="385">
        <v>0</v>
      </c>
      <c r="C43" s="561">
        <f t="shared" si="7"/>
        <v>0</v>
      </c>
      <c r="D43" s="564"/>
      <c r="E43" s="565"/>
      <c r="G43" s="384" t="s">
        <v>567</v>
      </c>
      <c r="H43" s="385">
        <v>0</v>
      </c>
      <c r="I43" s="569">
        <f t="shared" si="6"/>
        <v>0</v>
      </c>
      <c r="J43" s="569"/>
      <c r="K43" s="570"/>
    </row>
    <row r="44" spans="1:11">
      <c r="A44" s="384" t="s">
        <v>566</v>
      </c>
      <c r="B44" s="385">
        <v>0</v>
      </c>
      <c r="C44" s="561">
        <f t="shared" si="7"/>
        <v>0</v>
      </c>
      <c r="D44" s="564"/>
      <c r="E44" s="565"/>
      <c r="G44" s="384" t="s">
        <v>566</v>
      </c>
      <c r="H44" s="385">
        <v>0</v>
      </c>
      <c r="I44" s="569">
        <f t="shared" si="6"/>
        <v>0</v>
      </c>
      <c r="J44" s="569"/>
      <c r="K44" s="570"/>
    </row>
    <row r="45" spans="1:11">
      <c r="A45" s="384" t="s">
        <v>557</v>
      </c>
      <c r="B45" s="385">
        <v>0</v>
      </c>
      <c r="C45" s="561">
        <f t="shared" si="7"/>
        <v>0</v>
      </c>
      <c r="D45" s="564"/>
      <c r="E45" s="565"/>
      <c r="G45" s="384" t="s">
        <v>557</v>
      </c>
      <c r="H45" s="385">
        <v>0</v>
      </c>
      <c r="I45" s="569">
        <f t="shared" si="6"/>
        <v>0</v>
      </c>
      <c r="J45" s="569"/>
      <c r="K45" s="570"/>
    </row>
    <row r="46" spans="1:11">
      <c r="A46" s="384" t="s">
        <v>561</v>
      </c>
      <c r="B46" s="385">
        <v>0</v>
      </c>
      <c r="C46" s="561">
        <f t="shared" si="7"/>
        <v>0</v>
      </c>
      <c r="D46" s="564"/>
      <c r="E46" s="565"/>
      <c r="G46" s="384" t="s">
        <v>561</v>
      </c>
      <c r="H46" s="385">
        <v>0</v>
      </c>
      <c r="I46" s="569">
        <f t="shared" si="6"/>
        <v>0</v>
      </c>
      <c r="J46" s="569"/>
      <c r="K46" s="570"/>
    </row>
    <row r="47" spans="1:11">
      <c r="A47" s="384" t="s">
        <v>563</v>
      </c>
      <c r="B47" s="385">
        <v>0</v>
      </c>
      <c r="C47" s="561">
        <f t="shared" si="7"/>
        <v>0</v>
      </c>
      <c r="D47" s="564"/>
      <c r="E47" s="565"/>
      <c r="G47" s="384" t="s">
        <v>563</v>
      </c>
      <c r="H47" s="385">
        <v>0</v>
      </c>
      <c r="I47" s="569">
        <f t="shared" si="6"/>
        <v>0</v>
      </c>
      <c r="J47" s="569"/>
      <c r="K47" s="570"/>
    </row>
    <row r="48" spans="1:11">
      <c r="A48" s="386"/>
      <c r="B48" s="385">
        <v>0</v>
      </c>
      <c r="C48" s="561">
        <f t="shared" si="7"/>
        <v>0</v>
      </c>
      <c r="D48" s="564"/>
      <c r="E48" s="565"/>
      <c r="G48" s="386"/>
      <c r="H48" s="385">
        <v>0</v>
      </c>
      <c r="I48" s="569">
        <f t="shared" si="6"/>
        <v>0</v>
      </c>
      <c r="J48" s="569"/>
      <c r="K48" s="570"/>
    </row>
    <row r="49" spans="1:11" ht="15" thickBot="1">
      <c r="A49" s="387" t="s">
        <v>736</v>
      </c>
      <c r="B49" s="388">
        <v>0</v>
      </c>
      <c r="C49" s="566">
        <f>1095*B49/100*$B$38</f>
        <v>0</v>
      </c>
      <c r="D49" s="567"/>
      <c r="E49" s="568"/>
      <c r="G49" s="387" t="s">
        <v>736</v>
      </c>
      <c r="H49" s="388">
        <v>0</v>
      </c>
      <c r="I49" s="571">
        <f t="shared" si="6"/>
        <v>0</v>
      </c>
      <c r="J49" s="571"/>
      <c r="K49" s="572"/>
    </row>
    <row r="50" spans="1:11">
      <c r="A50" s="374"/>
      <c r="B50" s="374">
        <f>SUM(B40:B49)</f>
        <v>100</v>
      </c>
      <c r="C50" s="374" t="s">
        <v>731</v>
      </c>
      <c r="D50" s="374"/>
      <c r="E50" s="374"/>
      <c r="G50" s="401"/>
      <c r="H50" s="374">
        <f>SUM(H40:H49)</f>
        <v>100</v>
      </c>
      <c r="I50" s="374" t="s">
        <v>731</v>
      </c>
      <c r="J50" s="374"/>
      <c r="K50" s="374"/>
    </row>
    <row r="51" spans="1:11" ht="15" thickBot="1">
      <c r="A51" s="374"/>
      <c r="B51" s="374"/>
      <c r="C51" s="374"/>
      <c r="D51" s="374"/>
      <c r="E51" s="374"/>
      <c r="G51" s="374"/>
      <c r="H51" s="374"/>
      <c r="I51" s="374"/>
      <c r="J51" s="374"/>
      <c r="K51" s="374"/>
    </row>
    <row r="52" spans="1:11">
      <c r="A52" s="377" t="s">
        <v>548</v>
      </c>
      <c r="B52" s="378">
        <v>0</v>
      </c>
      <c r="C52" s="379" t="s">
        <v>720</v>
      </c>
      <c r="D52" s="402">
        <v>9.9600000000000009</v>
      </c>
      <c r="E52" s="381">
        <f>D52*B52</f>
        <v>0</v>
      </c>
      <c r="G52" s="377" t="s">
        <v>549</v>
      </c>
      <c r="H52" s="378">
        <v>0</v>
      </c>
      <c r="I52" s="379" t="s">
        <v>720</v>
      </c>
      <c r="J52" s="380">
        <v>3.66</v>
      </c>
      <c r="K52" s="381">
        <f>J52*H52</f>
        <v>0</v>
      </c>
    </row>
    <row r="53" spans="1:11" ht="22.5">
      <c r="A53" s="382" t="s">
        <v>721</v>
      </c>
      <c r="B53" s="383" t="s">
        <v>722</v>
      </c>
      <c r="C53" s="559" t="s">
        <v>723</v>
      </c>
      <c r="D53" s="559"/>
      <c r="E53" s="560"/>
      <c r="G53" s="382" t="s">
        <v>721</v>
      </c>
      <c r="H53" s="383" t="s">
        <v>722</v>
      </c>
      <c r="I53" s="559" t="s">
        <v>723</v>
      </c>
      <c r="J53" s="559"/>
      <c r="K53" s="560"/>
    </row>
    <row r="54" spans="1:11">
      <c r="A54" s="384" t="s">
        <v>560</v>
      </c>
      <c r="B54" s="385">
        <v>100</v>
      </c>
      <c r="C54" s="561">
        <f>110*B54/100*$B$52</f>
        <v>0</v>
      </c>
      <c r="D54" s="564"/>
      <c r="E54" s="565"/>
      <c r="G54" s="384" t="s">
        <v>560</v>
      </c>
      <c r="H54" s="385">
        <v>100</v>
      </c>
      <c r="I54" s="569">
        <f>30*H54/100*$H$52</f>
        <v>0</v>
      </c>
      <c r="J54" s="569"/>
      <c r="K54" s="570"/>
    </row>
    <row r="55" spans="1:11">
      <c r="A55" s="384" t="s">
        <v>724</v>
      </c>
      <c r="B55" s="385">
        <v>0</v>
      </c>
      <c r="C55" s="561">
        <f t="shared" ref="C55:C65" si="8">110*B55/100*$B$52</f>
        <v>0</v>
      </c>
      <c r="D55" s="564"/>
      <c r="E55" s="565"/>
      <c r="G55" s="384" t="s">
        <v>724</v>
      </c>
      <c r="H55" s="385">
        <v>0</v>
      </c>
      <c r="I55" s="569">
        <f t="shared" ref="I55:I65" si="9">30*H55/100*$H$52</f>
        <v>0</v>
      </c>
      <c r="J55" s="569"/>
      <c r="K55" s="570"/>
    </row>
    <row r="56" spans="1:11">
      <c r="A56" s="384" t="s">
        <v>558</v>
      </c>
      <c r="B56" s="385">
        <v>0</v>
      </c>
      <c r="C56" s="561">
        <f t="shared" si="8"/>
        <v>0</v>
      </c>
      <c r="D56" s="564"/>
      <c r="E56" s="565"/>
      <c r="G56" s="384" t="s">
        <v>558</v>
      </c>
      <c r="H56" s="385">
        <v>0</v>
      </c>
      <c r="I56" s="569">
        <f t="shared" si="9"/>
        <v>0</v>
      </c>
      <c r="J56" s="569"/>
      <c r="K56" s="570"/>
    </row>
    <row r="57" spans="1:11">
      <c r="A57" s="384" t="s">
        <v>567</v>
      </c>
      <c r="B57" s="385">
        <v>0</v>
      </c>
      <c r="C57" s="561">
        <f t="shared" si="8"/>
        <v>0</v>
      </c>
      <c r="D57" s="564"/>
      <c r="E57" s="565"/>
      <c r="G57" s="384" t="s">
        <v>567</v>
      </c>
      <c r="H57" s="385">
        <v>0</v>
      </c>
      <c r="I57" s="569">
        <f t="shared" si="9"/>
        <v>0</v>
      </c>
      <c r="J57" s="569"/>
      <c r="K57" s="570"/>
    </row>
    <row r="58" spans="1:11">
      <c r="A58" s="384" t="s">
        <v>566</v>
      </c>
      <c r="B58" s="385">
        <v>0</v>
      </c>
      <c r="C58" s="561">
        <f t="shared" si="8"/>
        <v>0</v>
      </c>
      <c r="D58" s="564"/>
      <c r="E58" s="565"/>
      <c r="G58" s="384" t="s">
        <v>566</v>
      </c>
      <c r="H58" s="385">
        <v>0</v>
      </c>
      <c r="I58" s="569">
        <f t="shared" si="9"/>
        <v>0</v>
      </c>
      <c r="J58" s="569"/>
      <c r="K58" s="570"/>
    </row>
    <row r="59" spans="1:11">
      <c r="A59" s="384" t="s">
        <v>557</v>
      </c>
      <c r="B59" s="385">
        <v>0</v>
      </c>
      <c r="C59" s="561">
        <f t="shared" si="8"/>
        <v>0</v>
      </c>
      <c r="D59" s="564"/>
      <c r="E59" s="565"/>
      <c r="G59" s="384" t="s">
        <v>557</v>
      </c>
      <c r="H59" s="385">
        <v>0</v>
      </c>
      <c r="I59" s="569">
        <f t="shared" si="9"/>
        <v>0</v>
      </c>
      <c r="J59" s="569"/>
      <c r="K59" s="570"/>
    </row>
    <row r="60" spans="1:11">
      <c r="A60" s="384" t="s">
        <v>561</v>
      </c>
      <c r="B60" s="385">
        <v>0</v>
      </c>
      <c r="C60" s="561">
        <f t="shared" si="8"/>
        <v>0</v>
      </c>
      <c r="D60" s="564"/>
      <c r="E60" s="565"/>
      <c r="G60" s="384" t="s">
        <v>561</v>
      </c>
      <c r="H60" s="385">
        <v>0</v>
      </c>
      <c r="I60" s="569">
        <f t="shared" si="9"/>
        <v>0</v>
      </c>
      <c r="J60" s="569"/>
      <c r="K60" s="570"/>
    </row>
    <row r="61" spans="1:11">
      <c r="A61" s="384" t="s">
        <v>563</v>
      </c>
      <c r="B61" s="385">
        <v>0</v>
      </c>
      <c r="C61" s="561">
        <f t="shared" si="8"/>
        <v>0</v>
      </c>
      <c r="D61" s="564"/>
      <c r="E61" s="565"/>
      <c r="G61" s="384" t="s">
        <v>563</v>
      </c>
      <c r="H61" s="385">
        <v>0</v>
      </c>
      <c r="I61" s="569">
        <f t="shared" si="9"/>
        <v>0</v>
      </c>
      <c r="J61" s="569"/>
      <c r="K61" s="570"/>
    </row>
    <row r="62" spans="1:11">
      <c r="A62" s="386"/>
      <c r="B62" s="385">
        <v>0</v>
      </c>
      <c r="C62" s="561">
        <f t="shared" si="8"/>
        <v>0</v>
      </c>
      <c r="D62" s="564"/>
      <c r="E62" s="565"/>
      <c r="G62" s="386"/>
      <c r="H62" s="385">
        <v>0</v>
      </c>
      <c r="I62" s="569">
        <f t="shared" si="9"/>
        <v>0</v>
      </c>
      <c r="J62" s="569"/>
      <c r="K62" s="570"/>
    </row>
    <row r="63" spans="1:11">
      <c r="A63" s="384" t="s">
        <v>735</v>
      </c>
      <c r="B63" s="385">
        <v>0</v>
      </c>
      <c r="C63" s="561">
        <f t="shared" si="8"/>
        <v>0</v>
      </c>
      <c r="D63" s="564"/>
      <c r="E63" s="565"/>
      <c r="G63" s="384" t="s">
        <v>735</v>
      </c>
      <c r="H63" s="385">
        <v>0</v>
      </c>
      <c r="I63" s="569">
        <f t="shared" si="9"/>
        <v>0</v>
      </c>
      <c r="J63" s="569"/>
      <c r="K63" s="570"/>
    </row>
    <row r="64" spans="1:11">
      <c r="A64" s="384" t="s">
        <v>729</v>
      </c>
      <c r="B64" s="385">
        <v>100</v>
      </c>
      <c r="C64" s="561">
        <f t="shared" si="8"/>
        <v>0</v>
      </c>
      <c r="D64" s="564"/>
      <c r="E64" s="565"/>
      <c r="G64" s="384" t="s">
        <v>729</v>
      </c>
      <c r="H64" s="385">
        <v>100</v>
      </c>
      <c r="I64" s="569">
        <f t="shared" si="9"/>
        <v>0</v>
      </c>
      <c r="J64" s="569"/>
      <c r="K64" s="570"/>
    </row>
    <row r="65" spans="1:11" ht="15" thickBot="1">
      <c r="A65" s="387" t="s">
        <v>730</v>
      </c>
      <c r="B65" s="388">
        <v>0</v>
      </c>
      <c r="C65" s="566">
        <f t="shared" si="8"/>
        <v>0</v>
      </c>
      <c r="D65" s="567"/>
      <c r="E65" s="568"/>
      <c r="G65" s="387" t="s">
        <v>730</v>
      </c>
      <c r="H65" s="388">
        <v>0</v>
      </c>
      <c r="I65" s="571">
        <f t="shared" si="9"/>
        <v>0</v>
      </c>
      <c r="J65" s="571"/>
      <c r="K65" s="572"/>
    </row>
    <row r="66" spans="1:11">
      <c r="A66" s="374"/>
      <c r="B66" s="374">
        <f>SUM(B54:B63)</f>
        <v>100</v>
      </c>
      <c r="C66" s="374" t="s">
        <v>731</v>
      </c>
      <c r="D66" s="374"/>
      <c r="E66" s="374"/>
      <c r="G66" s="374"/>
      <c r="H66" s="374">
        <f>SUM(H54:H63)</f>
        <v>100</v>
      </c>
      <c r="I66" s="374" t="s">
        <v>731</v>
      </c>
      <c r="J66" s="374"/>
      <c r="K66" s="374"/>
    </row>
    <row r="67" spans="1:11" ht="15" thickBot="1">
      <c r="A67" s="374"/>
      <c r="B67" s="374">
        <f>SUM(B64:B65)</f>
        <v>100</v>
      </c>
      <c r="C67" s="374" t="s">
        <v>731</v>
      </c>
      <c r="D67" s="374"/>
      <c r="E67" s="374"/>
      <c r="G67" s="374"/>
      <c r="H67" s="374">
        <f>SUM(H64:H65)</f>
        <v>100</v>
      </c>
      <c r="I67" s="374" t="s">
        <v>731</v>
      </c>
      <c r="J67" s="374"/>
      <c r="K67" s="374"/>
    </row>
    <row r="68" spans="1:11">
      <c r="A68" s="377" t="s">
        <v>553</v>
      </c>
      <c r="B68" s="378">
        <v>0</v>
      </c>
      <c r="C68" s="379" t="s">
        <v>720</v>
      </c>
      <c r="D68" s="402">
        <v>9.9600000000000009</v>
      </c>
      <c r="E68" s="381">
        <f>D68*B68</f>
        <v>0</v>
      </c>
      <c r="G68" s="377" t="s">
        <v>554</v>
      </c>
      <c r="H68" s="378">
        <v>0</v>
      </c>
      <c r="I68" s="379" t="s">
        <v>720</v>
      </c>
      <c r="J68" s="380">
        <v>1.53</v>
      </c>
      <c r="K68" s="381">
        <f>J68*H68</f>
        <v>0</v>
      </c>
    </row>
    <row r="69" spans="1:11" ht="22.5">
      <c r="A69" s="382" t="s">
        <v>721</v>
      </c>
      <c r="B69" s="383" t="s">
        <v>722</v>
      </c>
      <c r="C69" s="559" t="s">
        <v>723</v>
      </c>
      <c r="D69" s="559"/>
      <c r="E69" s="560"/>
      <c r="G69" s="382" t="s">
        <v>721</v>
      </c>
      <c r="H69" s="383" t="s">
        <v>722</v>
      </c>
      <c r="I69" s="559" t="s">
        <v>723</v>
      </c>
      <c r="J69" s="559"/>
      <c r="K69" s="560"/>
    </row>
    <row r="70" spans="1:11">
      <c r="A70" s="384" t="s">
        <v>560</v>
      </c>
      <c r="B70" s="385">
        <v>100</v>
      </c>
      <c r="C70" s="561">
        <f>110*B70/100*$B$68</f>
        <v>0</v>
      </c>
      <c r="D70" s="564"/>
      <c r="E70" s="565"/>
      <c r="G70" s="384" t="s">
        <v>560</v>
      </c>
      <c r="H70" s="385">
        <v>100</v>
      </c>
      <c r="I70" s="569">
        <f>30*H70/100*$H$68</f>
        <v>0</v>
      </c>
      <c r="J70" s="569"/>
      <c r="K70" s="570"/>
    </row>
    <row r="71" spans="1:11">
      <c r="A71" s="384" t="s">
        <v>724</v>
      </c>
      <c r="B71" s="385">
        <v>0</v>
      </c>
      <c r="C71" s="561">
        <f t="shared" ref="C71:C81" si="10">110*B71/100*$B$68</f>
        <v>0</v>
      </c>
      <c r="D71" s="564"/>
      <c r="E71" s="565"/>
      <c r="G71" s="384" t="s">
        <v>724</v>
      </c>
      <c r="H71" s="385">
        <v>0</v>
      </c>
      <c r="I71" s="569">
        <f t="shared" ref="I71:I81" si="11">30*H71/100*$H$68</f>
        <v>0</v>
      </c>
      <c r="J71" s="569"/>
      <c r="K71" s="570"/>
    </row>
    <row r="72" spans="1:11">
      <c r="A72" s="384" t="s">
        <v>558</v>
      </c>
      <c r="B72" s="385">
        <v>0</v>
      </c>
      <c r="C72" s="561">
        <f t="shared" si="10"/>
        <v>0</v>
      </c>
      <c r="D72" s="564"/>
      <c r="E72" s="565"/>
      <c r="G72" s="384" t="s">
        <v>558</v>
      </c>
      <c r="H72" s="385">
        <v>0</v>
      </c>
      <c r="I72" s="569">
        <f t="shared" si="11"/>
        <v>0</v>
      </c>
      <c r="J72" s="569"/>
      <c r="K72" s="570"/>
    </row>
    <row r="73" spans="1:11">
      <c r="A73" s="384" t="s">
        <v>567</v>
      </c>
      <c r="B73" s="385">
        <v>0</v>
      </c>
      <c r="C73" s="561">
        <f t="shared" si="10"/>
        <v>0</v>
      </c>
      <c r="D73" s="564"/>
      <c r="E73" s="565"/>
      <c r="G73" s="384" t="s">
        <v>567</v>
      </c>
      <c r="H73" s="385">
        <v>0</v>
      </c>
      <c r="I73" s="569">
        <f t="shared" si="11"/>
        <v>0</v>
      </c>
      <c r="J73" s="569"/>
      <c r="K73" s="570"/>
    </row>
    <row r="74" spans="1:11">
      <c r="A74" s="384" t="s">
        <v>566</v>
      </c>
      <c r="B74" s="385">
        <v>0</v>
      </c>
      <c r="C74" s="561">
        <f t="shared" si="10"/>
        <v>0</v>
      </c>
      <c r="D74" s="564"/>
      <c r="E74" s="565"/>
      <c r="G74" s="384" t="s">
        <v>566</v>
      </c>
      <c r="H74" s="385">
        <v>0</v>
      </c>
      <c r="I74" s="569">
        <f t="shared" si="11"/>
        <v>0</v>
      </c>
      <c r="J74" s="569"/>
      <c r="K74" s="570"/>
    </row>
    <row r="75" spans="1:11">
      <c r="A75" s="384" t="s">
        <v>557</v>
      </c>
      <c r="B75" s="385">
        <v>0</v>
      </c>
      <c r="C75" s="561">
        <f t="shared" si="10"/>
        <v>0</v>
      </c>
      <c r="D75" s="564"/>
      <c r="E75" s="565"/>
      <c r="G75" s="384" t="s">
        <v>557</v>
      </c>
      <c r="H75" s="385">
        <v>0</v>
      </c>
      <c r="I75" s="569">
        <f t="shared" si="11"/>
        <v>0</v>
      </c>
      <c r="J75" s="569"/>
      <c r="K75" s="570"/>
    </row>
    <row r="76" spans="1:11">
      <c r="A76" s="384" t="s">
        <v>561</v>
      </c>
      <c r="B76" s="385">
        <v>0</v>
      </c>
      <c r="C76" s="561">
        <f t="shared" si="10"/>
        <v>0</v>
      </c>
      <c r="D76" s="564"/>
      <c r="E76" s="565"/>
      <c r="G76" s="384" t="s">
        <v>561</v>
      </c>
      <c r="H76" s="385">
        <v>0</v>
      </c>
      <c r="I76" s="569">
        <f t="shared" si="11"/>
        <v>0</v>
      </c>
      <c r="J76" s="569"/>
      <c r="K76" s="570"/>
    </row>
    <row r="77" spans="1:11">
      <c r="A77" s="384" t="s">
        <v>563</v>
      </c>
      <c r="B77" s="385">
        <v>0</v>
      </c>
      <c r="C77" s="561">
        <f t="shared" si="10"/>
        <v>0</v>
      </c>
      <c r="D77" s="564"/>
      <c r="E77" s="565"/>
      <c r="G77" s="384" t="s">
        <v>563</v>
      </c>
      <c r="H77" s="385">
        <v>0</v>
      </c>
      <c r="I77" s="569">
        <f t="shared" si="11"/>
        <v>0</v>
      </c>
      <c r="J77" s="569"/>
      <c r="K77" s="570"/>
    </row>
    <row r="78" spans="1:11">
      <c r="A78" s="386"/>
      <c r="B78" s="385">
        <v>0</v>
      </c>
      <c r="C78" s="561">
        <f t="shared" si="10"/>
        <v>0</v>
      </c>
      <c r="D78" s="564"/>
      <c r="E78" s="565"/>
      <c r="G78" s="386"/>
      <c r="H78" s="385">
        <v>0</v>
      </c>
      <c r="I78" s="569">
        <f t="shared" si="11"/>
        <v>0</v>
      </c>
      <c r="J78" s="569"/>
      <c r="K78" s="570"/>
    </row>
    <row r="79" spans="1:11">
      <c r="A79" s="384" t="s">
        <v>735</v>
      </c>
      <c r="B79" s="385">
        <v>0</v>
      </c>
      <c r="C79" s="561">
        <f t="shared" si="10"/>
        <v>0</v>
      </c>
      <c r="D79" s="564"/>
      <c r="E79" s="565"/>
      <c r="G79" s="384" t="s">
        <v>735</v>
      </c>
      <c r="H79" s="385">
        <v>0</v>
      </c>
      <c r="I79" s="569">
        <f t="shared" si="11"/>
        <v>0</v>
      </c>
      <c r="J79" s="569"/>
      <c r="K79" s="570"/>
    </row>
    <row r="80" spans="1:11">
      <c r="A80" s="384" t="s">
        <v>729</v>
      </c>
      <c r="B80" s="385">
        <v>100</v>
      </c>
      <c r="C80" s="561">
        <f t="shared" si="10"/>
        <v>0</v>
      </c>
      <c r="D80" s="564"/>
      <c r="E80" s="565"/>
      <c r="G80" s="384" t="s">
        <v>729</v>
      </c>
      <c r="H80" s="385">
        <v>100</v>
      </c>
      <c r="I80" s="569">
        <f t="shared" si="11"/>
        <v>0</v>
      </c>
      <c r="J80" s="569"/>
      <c r="K80" s="570"/>
    </row>
    <row r="81" spans="1:11" ht="15" thickBot="1">
      <c r="A81" s="387" t="s">
        <v>730</v>
      </c>
      <c r="B81" s="388">
        <v>0</v>
      </c>
      <c r="C81" s="566">
        <f t="shared" si="10"/>
        <v>0</v>
      </c>
      <c r="D81" s="567"/>
      <c r="E81" s="568"/>
      <c r="G81" s="387" t="s">
        <v>730</v>
      </c>
      <c r="H81" s="388">
        <v>0</v>
      </c>
      <c r="I81" s="571">
        <f t="shared" si="11"/>
        <v>0</v>
      </c>
      <c r="J81" s="571"/>
      <c r="K81" s="572"/>
    </row>
    <row r="82" spans="1:11" ht="15" thickBot="1">
      <c r="A82" s="374"/>
      <c r="B82" s="374">
        <f>SUM(B70:B79)</f>
        <v>100</v>
      </c>
      <c r="C82" s="374" t="s">
        <v>731</v>
      </c>
      <c r="D82" s="374"/>
      <c r="E82" s="374"/>
      <c r="G82" s="374"/>
      <c r="H82" s="374">
        <f>SUM(H70:H79)</f>
        <v>100</v>
      </c>
      <c r="I82" s="374" t="s">
        <v>731</v>
      </c>
      <c r="J82" s="374"/>
      <c r="K82" s="374"/>
    </row>
    <row r="83" spans="1:11" ht="15" thickBot="1">
      <c r="A83" s="374"/>
      <c r="B83" s="374">
        <f>SUM(B80:B81)</f>
        <v>100</v>
      </c>
      <c r="C83" s="374" t="s">
        <v>731</v>
      </c>
      <c r="D83" s="374"/>
      <c r="E83" s="374"/>
      <c r="G83" s="374"/>
      <c r="H83" s="374">
        <f>SUM(H80:H81)</f>
        <v>100</v>
      </c>
      <c r="I83" s="403" t="s">
        <v>733</v>
      </c>
      <c r="J83" s="404">
        <v>2.5</v>
      </c>
      <c r="K83" s="405">
        <f>J83*2.2</f>
        <v>5.5</v>
      </c>
    </row>
    <row r="84" spans="1:11">
      <c r="A84" s="377" t="s">
        <v>555</v>
      </c>
      <c r="B84" s="378">
        <v>0</v>
      </c>
      <c r="C84" s="379" t="s">
        <v>720</v>
      </c>
      <c r="D84" s="402">
        <v>0.04</v>
      </c>
      <c r="E84" s="381">
        <f>D84*B84</f>
        <v>0</v>
      </c>
      <c r="G84" s="377" t="s">
        <v>738</v>
      </c>
      <c r="H84" s="378">
        <v>0</v>
      </c>
      <c r="I84" s="379" t="s">
        <v>720</v>
      </c>
      <c r="J84" s="380">
        <v>0.05</v>
      </c>
      <c r="K84" s="381">
        <f>J84*H84</f>
        <v>0</v>
      </c>
    </row>
    <row r="85" spans="1:11" ht="22.5">
      <c r="A85" s="382" t="s">
        <v>721</v>
      </c>
      <c r="B85" s="383" t="s">
        <v>722</v>
      </c>
      <c r="C85" s="559" t="s">
        <v>723</v>
      </c>
      <c r="D85" s="559"/>
      <c r="E85" s="560"/>
      <c r="G85" s="382" t="s">
        <v>721</v>
      </c>
      <c r="H85" s="383" t="s">
        <v>722</v>
      </c>
      <c r="I85" s="559" t="s">
        <v>723</v>
      </c>
      <c r="J85" s="559"/>
      <c r="K85" s="560"/>
    </row>
    <row r="86" spans="1:11">
      <c r="A86" s="384" t="s">
        <v>560</v>
      </c>
      <c r="B86" s="385">
        <v>100</v>
      </c>
      <c r="C86" s="561">
        <f>46*B86/100*$B$84</f>
        <v>0</v>
      </c>
      <c r="D86" s="564"/>
      <c r="E86" s="565"/>
      <c r="G86" s="384" t="s">
        <v>560</v>
      </c>
      <c r="H86" s="385">
        <v>100</v>
      </c>
      <c r="I86" s="569">
        <f>$K$83*H86/100*$H$84</f>
        <v>0</v>
      </c>
      <c r="J86" s="569"/>
      <c r="K86" s="570"/>
    </row>
    <row r="87" spans="1:11">
      <c r="A87" s="384" t="s">
        <v>724</v>
      </c>
      <c r="B87" s="385">
        <v>0</v>
      </c>
      <c r="C87" s="561">
        <f t="shared" ref="C87:C92" si="12">46*B87/100*$B$84</f>
        <v>0</v>
      </c>
      <c r="D87" s="564"/>
      <c r="E87" s="565"/>
      <c r="G87" s="384" t="s">
        <v>724</v>
      </c>
      <c r="H87" s="385">
        <v>0</v>
      </c>
      <c r="I87" s="569">
        <f t="shared" ref="I87:I92" si="13">$K$83*H87/100*$H$84</f>
        <v>0</v>
      </c>
      <c r="J87" s="569"/>
      <c r="K87" s="570"/>
    </row>
    <row r="88" spans="1:11">
      <c r="A88" s="384" t="s">
        <v>558</v>
      </c>
      <c r="B88" s="385">
        <v>0</v>
      </c>
      <c r="C88" s="561">
        <f t="shared" si="12"/>
        <v>0</v>
      </c>
      <c r="D88" s="564"/>
      <c r="E88" s="565"/>
      <c r="G88" s="384" t="s">
        <v>558</v>
      </c>
      <c r="H88" s="385">
        <v>0</v>
      </c>
      <c r="I88" s="569">
        <f t="shared" si="13"/>
        <v>0</v>
      </c>
      <c r="J88" s="569"/>
      <c r="K88" s="570"/>
    </row>
    <row r="89" spans="1:11">
      <c r="A89" s="384" t="s">
        <v>567</v>
      </c>
      <c r="B89" s="385">
        <v>0</v>
      </c>
      <c r="C89" s="561">
        <f t="shared" si="12"/>
        <v>0</v>
      </c>
      <c r="D89" s="564"/>
      <c r="E89" s="565"/>
      <c r="G89" s="384" t="s">
        <v>567</v>
      </c>
      <c r="H89" s="385">
        <v>0</v>
      </c>
      <c r="I89" s="569">
        <f t="shared" si="13"/>
        <v>0</v>
      </c>
      <c r="J89" s="569"/>
      <c r="K89" s="570"/>
    </row>
    <row r="90" spans="1:11">
      <c r="A90" s="384" t="s">
        <v>566</v>
      </c>
      <c r="B90" s="385">
        <v>0</v>
      </c>
      <c r="C90" s="561">
        <f t="shared" si="12"/>
        <v>0</v>
      </c>
      <c r="D90" s="564"/>
      <c r="E90" s="565"/>
      <c r="G90" s="384" t="s">
        <v>566</v>
      </c>
      <c r="H90" s="385">
        <v>0</v>
      </c>
      <c r="I90" s="569">
        <f t="shared" si="13"/>
        <v>0</v>
      </c>
      <c r="J90" s="569"/>
      <c r="K90" s="570"/>
    </row>
    <row r="91" spans="1:11">
      <c r="A91" s="384" t="s">
        <v>557</v>
      </c>
      <c r="B91" s="385">
        <v>0</v>
      </c>
      <c r="C91" s="561">
        <f t="shared" si="12"/>
        <v>0</v>
      </c>
      <c r="D91" s="564"/>
      <c r="E91" s="565"/>
      <c r="G91" s="384" t="s">
        <v>557</v>
      </c>
      <c r="H91" s="385">
        <v>0</v>
      </c>
      <c r="I91" s="569">
        <f t="shared" si="13"/>
        <v>0</v>
      </c>
      <c r="J91" s="569"/>
      <c r="K91" s="570"/>
    </row>
    <row r="92" spans="1:11" ht="15" thickBot="1">
      <c r="A92" s="387" t="s">
        <v>739</v>
      </c>
      <c r="B92" s="388">
        <v>0</v>
      </c>
      <c r="C92" s="566">
        <f t="shared" si="12"/>
        <v>0</v>
      </c>
      <c r="D92" s="567"/>
      <c r="E92" s="568"/>
      <c r="G92" s="387" t="s">
        <v>739</v>
      </c>
      <c r="H92" s="388">
        <v>0</v>
      </c>
      <c r="I92" s="571">
        <f t="shared" si="13"/>
        <v>0</v>
      </c>
      <c r="J92" s="571"/>
      <c r="K92" s="572"/>
    </row>
    <row r="93" spans="1:11">
      <c r="A93" s="374"/>
      <c r="B93" s="374">
        <f>SUM(B86:B92)</f>
        <v>100</v>
      </c>
      <c r="C93" s="374" t="s">
        <v>731</v>
      </c>
      <c r="D93" s="374"/>
      <c r="E93" s="374"/>
      <c r="F93" s="406"/>
      <c r="G93" s="374"/>
      <c r="H93" s="374">
        <f>SUM(H86:H92)</f>
        <v>100</v>
      </c>
      <c r="I93" s="374" t="s">
        <v>731</v>
      </c>
      <c r="J93" s="374"/>
      <c r="K93" s="374"/>
    </row>
    <row r="94" spans="1:11" ht="15" thickBot="1">
      <c r="A94" s="374"/>
      <c r="B94" s="374"/>
      <c r="C94" s="374"/>
      <c r="D94" s="374"/>
      <c r="E94" s="374"/>
      <c r="F94" s="406"/>
      <c r="G94" s="374"/>
      <c r="H94" s="374"/>
      <c r="I94" s="374"/>
      <c r="J94" s="374"/>
      <c r="K94" s="374"/>
    </row>
    <row r="95" spans="1:11" ht="39" thickBot="1">
      <c r="A95" s="575" t="s">
        <v>556</v>
      </c>
      <c r="B95" s="576"/>
      <c r="C95" s="407" t="s">
        <v>740</v>
      </c>
      <c r="D95" s="407" t="s">
        <v>741</v>
      </c>
      <c r="E95" s="407" t="s">
        <v>742</v>
      </c>
      <c r="F95" s="408" t="s">
        <v>743</v>
      </c>
      <c r="G95" s="407" t="s">
        <v>744</v>
      </c>
      <c r="H95" s="407" t="s">
        <v>745</v>
      </c>
      <c r="I95" s="407" t="s">
        <v>746</v>
      </c>
      <c r="J95" s="407" t="s">
        <v>747</v>
      </c>
      <c r="K95" s="409" t="s">
        <v>748</v>
      </c>
    </row>
    <row r="96" spans="1:11">
      <c r="A96" s="577" t="s">
        <v>560</v>
      </c>
      <c r="B96" s="578"/>
      <c r="C96" s="410">
        <f>'[1]Fin. rezime i novčani tokovi'!B8</f>
        <v>0</v>
      </c>
      <c r="D96" s="411">
        <f>'[1]Fin. rezime i novčani tokovi'!E8</f>
        <v>0</v>
      </c>
      <c r="E96" s="412">
        <f>C96*D96</f>
        <v>0</v>
      </c>
      <c r="F96" s="412">
        <f t="shared" ref="F96:F98" si="14">C4+I4+I23+C23+C40+I40+C54+I54+C70+I70+C86+I86</f>
        <v>0</v>
      </c>
      <c r="G96" s="412">
        <f>E96-J96-F96</f>
        <v>0</v>
      </c>
      <c r="H96" s="413">
        <v>0</v>
      </c>
      <c r="I96" s="414">
        <f>IF(G96&gt;0,0,ABS(G96)*H96)</f>
        <v>0</v>
      </c>
      <c r="J96" s="415">
        <v>0</v>
      </c>
      <c r="K96" s="416" t="e">
        <f>G96/D96</f>
        <v>#DIV/0!</v>
      </c>
    </row>
    <row r="97" spans="1:11">
      <c r="A97" s="579" t="s">
        <v>724</v>
      </c>
      <c r="B97" s="580"/>
      <c r="C97" s="417">
        <f>'[1]Fin. rezime i novčani tokovi'!B7</f>
        <v>0</v>
      </c>
      <c r="D97" s="418">
        <f>'[1]Fin. rezime i novčani tokovi'!E7</f>
        <v>0</v>
      </c>
      <c r="E97" s="419">
        <f>C97*D97</f>
        <v>0</v>
      </c>
      <c r="F97" s="419">
        <f t="shared" si="14"/>
        <v>0</v>
      </c>
      <c r="G97" s="419">
        <f t="shared" ref="G97:G108" si="15">E97-J97-F97</f>
        <v>0</v>
      </c>
      <c r="H97" s="420">
        <v>0</v>
      </c>
      <c r="I97" s="421">
        <f>IF(G97&gt;0,0,ABS(G97)*H97)</f>
        <v>0</v>
      </c>
      <c r="J97" s="422">
        <v>0</v>
      </c>
      <c r="K97" s="423" t="e">
        <f t="shared" ref="K97:K108" si="16">G97/D97</f>
        <v>#DIV/0!</v>
      </c>
    </row>
    <row r="98" spans="1:11">
      <c r="A98" s="579" t="s">
        <v>558</v>
      </c>
      <c r="B98" s="580"/>
      <c r="C98" s="424">
        <f>'[1]Fin. rezime i novčani tokovi'!B6</f>
        <v>0</v>
      </c>
      <c r="D98" s="418">
        <f>'[1]Fin. rezime i novčani tokovi'!E6</f>
        <v>0</v>
      </c>
      <c r="E98" s="419">
        <f>C98*D98</f>
        <v>0</v>
      </c>
      <c r="F98" s="419">
        <f t="shared" si="14"/>
        <v>0</v>
      </c>
      <c r="G98" s="419">
        <f t="shared" si="15"/>
        <v>0</v>
      </c>
      <c r="H98" s="420">
        <v>0</v>
      </c>
      <c r="I98" s="421">
        <f>IF(G98&gt;0,0,ABS(G98)*H98)</f>
        <v>0</v>
      </c>
      <c r="J98" s="422">
        <v>0</v>
      </c>
      <c r="K98" s="423" t="e">
        <f t="shared" si="16"/>
        <v>#DIV/0!</v>
      </c>
    </row>
    <row r="99" spans="1:11">
      <c r="A99" s="579" t="s">
        <v>567</v>
      </c>
      <c r="B99" s="580"/>
      <c r="C99" s="424">
        <f>'[1]Fin. rezime i novčani tokovi'!B16</f>
        <v>0</v>
      </c>
      <c r="D99" s="418">
        <f>'[1]Fin. rezime i novčani tokovi'!E16</f>
        <v>0</v>
      </c>
      <c r="E99" s="419">
        <f>C99*D99</f>
        <v>0</v>
      </c>
      <c r="F99" s="419">
        <f>C7+I7+I26+C26+C43+I43+C57+I57+C73+I73+C89+I89</f>
        <v>0</v>
      </c>
      <c r="G99" s="419">
        <f t="shared" si="15"/>
        <v>0</v>
      </c>
      <c r="H99" s="420">
        <v>0</v>
      </c>
      <c r="I99" s="421">
        <f>IF(G99&gt;0,0,ABS(G99)*H99)</f>
        <v>0</v>
      </c>
      <c r="J99" s="422">
        <v>0</v>
      </c>
      <c r="K99" s="423" t="e">
        <f t="shared" si="16"/>
        <v>#DIV/0!</v>
      </c>
    </row>
    <row r="100" spans="1:11">
      <c r="A100" s="579" t="s">
        <v>566</v>
      </c>
      <c r="B100" s="580"/>
      <c r="C100" s="424">
        <f>'[1]Fin. rezime i novčani tokovi'!B15</f>
        <v>0</v>
      </c>
      <c r="D100" s="418">
        <f>'[1]Fin. rezime i novčani tokovi'!E15</f>
        <v>0</v>
      </c>
      <c r="E100" s="419">
        <f>C100*D100</f>
        <v>0</v>
      </c>
      <c r="F100" s="419">
        <f>C8+I8+I27+C27+C44+I44+C58+I58+C74+I74+C90+I90</f>
        <v>0</v>
      </c>
      <c r="G100" s="419">
        <f t="shared" si="15"/>
        <v>0</v>
      </c>
      <c r="H100" s="420">
        <v>0</v>
      </c>
      <c r="I100" s="421">
        <f t="shared" ref="I100:I108" si="17">IF(G100&gt;0,0,ABS(G100)*H100)</f>
        <v>0</v>
      </c>
      <c r="J100" s="422">
        <v>0</v>
      </c>
      <c r="K100" s="423" t="e">
        <f t="shared" si="16"/>
        <v>#DIV/0!</v>
      </c>
    </row>
    <row r="101" spans="1:11">
      <c r="A101" s="589" t="s">
        <v>557</v>
      </c>
      <c r="B101" s="590"/>
      <c r="C101" s="424">
        <f>'[1]Fin. rezime i novčani tokovi'!B5</f>
        <v>0</v>
      </c>
      <c r="D101" s="418">
        <f>'[1]Fin. rezime i novčani tokovi'!E5</f>
        <v>0</v>
      </c>
      <c r="E101" s="419">
        <f t="shared" ref="E101:E108" si="18">+C101*D101</f>
        <v>0</v>
      </c>
      <c r="F101" s="419">
        <f>C9+I9+I28+C28+C45+I45+C59+I59+C75+I75+C91+I91</f>
        <v>0</v>
      </c>
      <c r="G101" s="419">
        <f t="shared" si="15"/>
        <v>0</v>
      </c>
      <c r="H101" s="420">
        <v>0</v>
      </c>
      <c r="I101" s="421">
        <f t="shared" si="17"/>
        <v>0</v>
      </c>
      <c r="J101" s="422">
        <v>0</v>
      </c>
      <c r="K101" s="423" t="e">
        <f t="shared" si="16"/>
        <v>#DIV/0!</v>
      </c>
    </row>
    <row r="102" spans="1:11">
      <c r="A102" s="589" t="s">
        <v>561</v>
      </c>
      <c r="B102" s="590"/>
      <c r="C102" s="424">
        <f>'[1]Fin. rezime i novčani tokovi'!B10</f>
        <v>0</v>
      </c>
      <c r="D102" s="418">
        <f>'[1]Fin. rezime i novčani tokovi'!E10</f>
        <v>0</v>
      </c>
      <c r="E102" s="419">
        <f t="shared" si="18"/>
        <v>0</v>
      </c>
      <c r="F102" s="419">
        <f>C10+I10+C29+I29+C46+I46+C60+I60+C76+I76</f>
        <v>0</v>
      </c>
      <c r="G102" s="419">
        <f t="shared" si="15"/>
        <v>0</v>
      </c>
      <c r="H102" s="425">
        <v>0</v>
      </c>
      <c r="I102" s="421">
        <f t="shared" si="17"/>
        <v>0</v>
      </c>
      <c r="J102" s="422">
        <v>0</v>
      </c>
      <c r="K102" s="423" t="e">
        <f t="shared" si="16"/>
        <v>#DIV/0!</v>
      </c>
    </row>
    <row r="103" spans="1:11">
      <c r="A103" s="589" t="s">
        <v>563</v>
      </c>
      <c r="B103" s="590"/>
      <c r="C103" s="424">
        <f>'[1]Fin. rezime i novčani tokovi'!B12</f>
        <v>0</v>
      </c>
      <c r="D103" s="418">
        <f>'[1]Fin. rezime i novčani tokovi'!E12</f>
        <v>0</v>
      </c>
      <c r="E103" s="419">
        <f t="shared" si="18"/>
        <v>0</v>
      </c>
      <c r="F103" s="419">
        <f>C11+I11+C30+I30+C47+I47+C61+I61+C77+I77</f>
        <v>0</v>
      </c>
      <c r="G103" s="419">
        <f t="shared" si="15"/>
        <v>0</v>
      </c>
      <c r="H103" s="420">
        <v>0</v>
      </c>
      <c r="I103" s="421">
        <f t="shared" si="17"/>
        <v>0</v>
      </c>
      <c r="J103" s="422">
        <v>0</v>
      </c>
      <c r="K103" s="423" t="e">
        <f t="shared" si="16"/>
        <v>#DIV/0!</v>
      </c>
    </row>
    <row r="104" spans="1:11">
      <c r="A104" s="591"/>
      <c r="B104" s="592"/>
      <c r="C104" s="422">
        <v>0</v>
      </c>
      <c r="D104" s="426">
        <v>0</v>
      </c>
      <c r="E104" s="419">
        <f t="shared" si="18"/>
        <v>0</v>
      </c>
      <c r="F104" s="419">
        <f>C12+I12+I31+C48+I48+C62+I62+C78+I78</f>
        <v>0</v>
      </c>
      <c r="G104" s="419">
        <f t="shared" si="15"/>
        <v>0</v>
      </c>
      <c r="H104" s="420">
        <v>0</v>
      </c>
      <c r="I104" s="421">
        <f t="shared" si="17"/>
        <v>0</v>
      </c>
      <c r="J104" s="422">
        <v>0</v>
      </c>
      <c r="K104" s="423" t="e">
        <f t="shared" si="16"/>
        <v>#DIV/0!</v>
      </c>
    </row>
    <row r="105" spans="1:11">
      <c r="A105" s="579" t="s">
        <v>728</v>
      </c>
      <c r="B105" s="580"/>
      <c r="C105" s="422">
        <v>0</v>
      </c>
      <c r="D105" s="426">
        <v>0</v>
      </c>
      <c r="E105" s="419">
        <f t="shared" si="18"/>
        <v>0</v>
      </c>
      <c r="F105" s="419">
        <f>C15+I15+C33</f>
        <v>0</v>
      </c>
      <c r="G105" s="419">
        <f t="shared" si="15"/>
        <v>0</v>
      </c>
      <c r="H105" s="420">
        <v>0</v>
      </c>
      <c r="I105" s="421">
        <f t="shared" si="17"/>
        <v>0</v>
      </c>
      <c r="J105" s="422">
        <v>0</v>
      </c>
      <c r="K105" s="423" t="e">
        <f t="shared" si="16"/>
        <v>#DIV/0!</v>
      </c>
    </row>
    <row r="106" spans="1:11">
      <c r="A106" s="579" t="s">
        <v>532</v>
      </c>
      <c r="B106" s="580"/>
      <c r="C106" s="424">
        <f>'[1]Fin. rezime i novčani tokovi'!B9</f>
        <v>0</v>
      </c>
      <c r="D106" s="418">
        <f>'[1]Fin. rezime i novčani tokovi'!E9</f>
        <v>0</v>
      </c>
      <c r="E106" s="419">
        <f>+C106*D106</f>
        <v>0</v>
      </c>
      <c r="F106" s="419">
        <f>C14+I14+C32</f>
        <v>0</v>
      </c>
      <c r="G106" s="419">
        <f t="shared" si="15"/>
        <v>0</v>
      </c>
      <c r="H106" s="420">
        <v>0</v>
      </c>
      <c r="I106" s="421">
        <f t="shared" si="17"/>
        <v>0</v>
      </c>
      <c r="J106" s="422">
        <v>0</v>
      </c>
      <c r="K106" s="423" t="e">
        <f t="shared" si="16"/>
        <v>#DIV/0!</v>
      </c>
    </row>
    <row r="107" spans="1:11">
      <c r="A107" s="579" t="s">
        <v>729</v>
      </c>
      <c r="B107" s="580"/>
      <c r="C107" s="424">
        <f>'[1]Fin. rezime i novčani tokovi'!B14</f>
        <v>0</v>
      </c>
      <c r="D107" s="418">
        <f>'[1]Fin. rezime i novčani tokovi'!E14</f>
        <v>0</v>
      </c>
      <c r="E107" s="419">
        <f>+C107*D107</f>
        <v>0</v>
      </c>
      <c r="F107" s="419">
        <f>+C16+I16+C34+C64+I64+C80+I80</f>
        <v>0</v>
      </c>
      <c r="G107" s="419">
        <f t="shared" si="15"/>
        <v>0</v>
      </c>
      <c r="H107" s="420">
        <v>0</v>
      </c>
      <c r="I107" s="421">
        <f>IF(G107&gt;0,0,ABS(G107)*H107)</f>
        <v>0</v>
      </c>
      <c r="J107" s="422">
        <v>0</v>
      </c>
      <c r="K107" s="423" t="e">
        <f t="shared" si="16"/>
        <v>#DIV/0!</v>
      </c>
    </row>
    <row r="108" spans="1:11" ht="15" thickBot="1">
      <c r="A108" s="581" t="s">
        <v>730</v>
      </c>
      <c r="B108" s="582"/>
      <c r="C108" s="427">
        <f>'[1]Fin. rezime i novčani tokovi'!B19</f>
        <v>0</v>
      </c>
      <c r="D108" s="428">
        <f>'[1]Fin. rezime i novčani tokovi'!E19</f>
        <v>0</v>
      </c>
      <c r="E108" s="429">
        <f t="shared" si="18"/>
        <v>0</v>
      </c>
      <c r="F108" s="429">
        <f>+C17+I17+C35+C65+I65+C81+I81</f>
        <v>0</v>
      </c>
      <c r="G108" s="429">
        <f t="shared" si="15"/>
        <v>0</v>
      </c>
      <c r="H108" s="430">
        <v>0</v>
      </c>
      <c r="I108" s="431">
        <f t="shared" si="17"/>
        <v>0</v>
      </c>
      <c r="J108" s="432">
        <v>0</v>
      </c>
      <c r="K108" s="433" t="e">
        <f t="shared" si="16"/>
        <v>#DIV/0!</v>
      </c>
    </row>
    <row r="109" spans="1:11">
      <c r="A109" s="583" t="s">
        <v>735</v>
      </c>
      <c r="B109" s="584"/>
      <c r="C109" s="584"/>
      <c r="D109" s="584"/>
      <c r="E109" s="585"/>
      <c r="F109" s="434">
        <f>C13+I13+C31+C63+I63+C79+I79</f>
        <v>0</v>
      </c>
      <c r="G109" s="586"/>
      <c r="H109" s="435">
        <v>0</v>
      </c>
      <c r="I109" s="436">
        <f>F109*H109</f>
        <v>0</v>
      </c>
      <c r="J109" s="586"/>
      <c r="K109" s="598"/>
    </row>
    <row r="110" spans="1:11">
      <c r="A110" s="601" t="s">
        <v>736</v>
      </c>
      <c r="B110" s="602"/>
      <c r="C110" s="602"/>
      <c r="D110" s="602"/>
      <c r="E110" s="603"/>
      <c r="F110" s="437">
        <f>I34+C49+I49</f>
        <v>0</v>
      </c>
      <c r="G110" s="587"/>
      <c r="H110" s="420">
        <v>0</v>
      </c>
      <c r="I110" s="421">
        <f>F110*H110</f>
        <v>0</v>
      </c>
      <c r="J110" s="587"/>
      <c r="K110" s="599"/>
    </row>
    <row r="111" spans="1:11" ht="15" thickBot="1">
      <c r="A111" s="604" t="s">
        <v>749</v>
      </c>
      <c r="B111" s="605"/>
      <c r="C111" s="605"/>
      <c r="D111" s="605"/>
      <c r="E111" s="606"/>
      <c r="F111" s="438">
        <f>C92+I92</f>
        <v>0</v>
      </c>
      <c r="G111" s="588"/>
      <c r="H111" s="430">
        <v>0</v>
      </c>
      <c r="I111" s="431">
        <f>F111*H111</f>
        <v>0</v>
      </c>
      <c r="J111" s="588"/>
      <c r="K111" s="600"/>
    </row>
    <row r="112" spans="1:11" ht="15.75" thickBot="1">
      <c r="A112" s="607" t="s">
        <v>750</v>
      </c>
      <c r="B112" s="608"/>
      <c r="C112" s="439" t="s">
        <v>751</v>
      </c>
      <c r="D112" s="439" t="s">
        <v>752</v>
      </c>
      <c r="E112" s="440" t="s">
        <v>277</v>
      </c>
    </row>
    <row r="113" spans="1:10" ht="15" thickBot="1">
      <c r="A113" s="609"/>
      <c r="B113" s="610"/>
      <c r="C113" s="441">
        <v>0</v>
      </c>
      <c r="D113" s="442">
        <v>0</v>
      </c>
      <c r="E113" s="443">
        <f>C113*D113</f>
        <v>0</v>
      </c>
    </row>
    <row r="114" spans="1:10">
      <c r="A114" s="611"/>
      <c r="B114" s="612"/>
      <c r="C114" s="444">
        <v>0</v>
      </c>
      <c r="D114" s="445">
        <v>0</v>
      </c>
      <c r="E114" s="446">
        <f t="shared" ref="E114:E116" si="19">C114*D114</f>
        <v>0</v>
      </c>
      <c r="G114" s="613" t="s">
        <v>753</v>
      </c>
      <c r="H114" s="614"/>
      <c r="I114" s="617">
        <f>E2+K2+E21+K21+E38+K38+E52+K52+E68+K68+E84+K84+I96+I97+I98+I99+I100+I101+I102+I103+I104+I105+I106+I107+I108+I109+I110+I111+E117</f>
        <v>0</v>
      </c>
      <c r="J114" s="618"/>
    </row>
    <row r="115" spans="1:10" ht="15" thickBot="1">
      <c r="A115" s="611"/>
      <c r="B115" s="612"/>
      <c r="C115" s="444">
        <v>0</v>
      </c>
      <c r="D115" s="445">
        <v>0</v>
      </c>
      <c r="E115" s="446">
        <f t="shared" si="19"/>
        <v>0</v>
      </c>
      <c r="G115" s="615"/>
      <c r="H115" s="616"/>
      <c r="I115" s="619"/>
      <c r="J115" s="620"/>
    </row>
    <row r="116" spans="1:10" ht="15" thickBot="1">
      <c r="A116" s="593"/>
      <c r="B116" s="594"/>
      <c r="C116" s="447">
        <v>0</v>
      </c>
      <c r="D116" s="448">
        <v>0</v>
      </c>
      <c r="E116" s="449">
        <f t="shared" si="19"/>
        <v>0</v>
      </c>
    </row>
    <row r="117" spans="1:10" ht="15.75" thickBot="1">
      <c r="A117" s="595" t="s">
        <v>277</v>
      </c>
      <c r="B117" s="596"/>
      <c r="C117" s="596"/>
      <c r="D117" s="597"/>
      <c r="E117" s="450">
        <f>SUM(E113:E116)</f>
        <v>0</v>
      </c>
    </row>
  </sheetData>
  <mergeCells count="174">
    <mergeCell ref="A116:B116"/>
    <mergeCell ref="A117:D117"/>
    <mergeCell ref="J109:K111"/>
    <mergeCell ref="A110:E110"/>
    <mergeCell ref="A111:E111"/>
    <mergeCell ref="A112:B112"/>
    <mergeCell ref="A113:B113"/>
    <mergeCell ref="A114:B114"/>
    <mergeCell ref="G114:H115"/>
    <mergeCell ref="I114:J115"/>
    <mergeCell ref="A115:B115"/>
    <mergeCell ref="A105:B105"/>
    <mergeCell ref="A106:B106"/>
    <mergeCell ref="A107:B107"/>
    <mergeCell ref="A108:B108"/>
    <mergeCell ref="A109:E109"/>
    <mergeCell ref="G109:G111"/>
    <mergeCell ref="A99:B99"/>
    <mergeCell ref="A100:B100"/>
    <mergeCell ref="A101:B101"/>
    <mergeCell ref="A102:B102"/>
    <mergeCell ref="A103:B103"/>
    <mergeCell ref="A104:B104"/>
    <mergeCell ref="C92:E92"/>
    <mergeCell ref="I92:K92"/>
    <mergeCell ref="A95:B95"/>
    <mergeCell ref="A96:B96"/>
    <mergeCell ref="A97:B97"/>
    <mergeCell ref="A98:B98"/>
    <mergeCell ref="C89:E89"/>
    <mergeCell ref="I89:K89"/>
    <mergeCell ref="C90:E90"/>
    <mergeCell ref="I90:K90"/>
    <mergeCell ref="C91:E91"/>
    <mergeCell ref="I91:K91"/>
    <mergeCell ref="C86:E86"/>
    <mergeCell ref="I86:K86"/>
    <mergeCell ref="C87:E87"/>
    <mergeCell ref="I87:K87"/>
    <mergeCell ref="C88:E88"/>
    <mergeCell ref="I88:K88"/>
    <mergeCell ref="C80:E80"/>
    <mergeCell ref="I80:K80"/>
    <mergeCell ref="C81:E81"/>
    <mergeCell ref="I81:K81"/>
    <mergeCell ref="C85:E85"/>
    <mergeCell ref="I85:K85"/>
    <mergeCell ref="C77:E77"/>
    <mergeCell ref="I77:K77"/>
    <mergeCell ref="C78:E78"/>
    <mergeCell ref="I78:K78"/>
    <mergeCell ref="C79:E79"/>
    <mergeCell ref="I79:K79"/>
    <mergeCell ref="C74:E74"/>
    <mergeCell ref="I74:K74"/>
    <mergeCell ref="C75:E75"/>
    <mergeCell ref="I75:K75"/>
    <mergeCell ref="C76:E76"/>
    <mergeCell ref="I76:K76"/>
    <mergeCell ref="C71:E71"/>
    <mergeCell ref="I71:K71"/>
    <mergeCell ref="C72:E72"/>
    <mergeCell ref="I72:K72"/>
    <mergeCell ref="C73:E73"/>
    <mergeCell ref="I73:K73"/>
    <mergeCell ref="C65:E65"/>
    <mergeCell ref="I65:K65"/>
    <mergeCell ref="C69:E69"/>
    <mergeCell ref="I69:K69"/>
    <mergeCell ref="C70:E70"/>
    <mergeCell ref="I70:K70"/>
    <mergeCell ref="C62:E62"/>
    <mergeCell ref="I62:K62"/>
    <mergeCell ref="C63:E63"/>
    <mergeCell ref="I63:K63"/>
    <mergeCell ref="C64:E64"/>
    <mergeCell ref="I64:K64"/>
    <mergeCell ref="C59:E59"/>
    <mergeCell ref="I59:K59"/>
    <mergeCell ref="C60:E60"/>
    <mergeCell ref="I60:K60"/>
    <mergeCell ref="C61:E61"/>
    <mergeCell ref="I61:K61"/>
    <mergeCell ref="C56:E56"/>
    <mergeCell ref="I56:K56"/>
    <mergeCell ref="C57:E57"/>
    <mergeCell ref="I57:K57"/>
    <mergeCell ref="C58:E58"/>
    <mergeCell ref="I58:K58"/>
    <mergeCell ref="C53:E53"/>
    <mergeCell ref="I53:K53"/>
    <mergeCell ref="C54:E54"/>
    <mergeCell ref="I54:K54"/>
    <mergeCell ref="C55:E55"/>
    <mergeCell ref="I55:K55"/>
    <mergeCell ref="C47:E47"/>
    <mergeCell ref="I47:K47"/>
    <mergeCell ref="C48:E48"/>
    <mergeCell ref="I48:K48"/>
    <mergeCell ref="C49:E49"/>
    <mergeCell ref="I49:K49"/>
    <mergeCell ref="C44:E44"/>
    <mergeCell ref="I44:K44"/>
    <mergeCell ref="C45:E45"/>
    <mergeCell ref="I45:K45"/>
    <mergeCell ref="C46:E46"/>
    <mergeCell ref="I46:K46"/>
    <mergeCell ref="C41:E41"/>
    <mergeCell ref="I41:K41"/>
    <mergeCell ref="C42:E42"/>
    <mergeCell ref="I42:K42"/>
    <mergeCell ref="C43:E43"/>
    <mergeCell ref="I43:K43"/>
    <mergeCell ref="C34:E34"/>
    <mergeCell ref="I34:K34"/>
    <mergeCell ref="C35:E35"/>
    <mergeCell ref="C39:E39"/>
    <mergeCell ref="I39:K39"/>
    <mergeCell ref="C40:E40"/>
    <mergeCell ref="I40:K40"/>
    <mergeCell ref="C31:E31"/>
    <mergeCell ref="I31:K31"/>
    <mergeCell ref="C32:E32"/>
    <mergeCell ref="I32:K32"/>
    <mergeCell ref="C33:E33"/>
    <mergeCell ref="I33:K33"/>
    <mergeCell ref="C28:E28"/>
    <mergeCell ref="I28:K28"/>
    <mergeCell ref="C29:E29"/>
    <mergeCell ref="I29:K29"/>
    <mergeCell ref="C30:E30"/>
    <mergeCell ref="I30:K30"/>
    <mergeCell ref="C25:E25"/>
    <mergeCell ref="I25:K25"/>
    <mergeCell ref="C26:E26"/>
    <mergeCell ref="I26:K26"/>
    <mergeCell ref="C27:E27"/>
    <mergeCell ref="I27:K27"/>
    <mergeCell ref="C22:E22"/>
    <mergeCell ref="I22:K22"/>
    <mergeCell ref="C23:E23"/>
    <mergeCell ref="I23:K23"/>
    <mergeCell ref="C24:E24"/>
    <mergeCell ref="I24:K24"/>
    <mergeCell ref="C16:E16"/>
    <mergeCell ref="I16:K16"/>
    <mergeCell ref="C17:E17"/>
    <mergeCell ref="I17:K17"/>
    <mergeCell ref="C12:E12"/>
    <mergeCell ref="I12:K12"/>
    <mergeCell ref="C13:E13"/>
    <mergeCell ref="I13:K13"/>
    <mergeCell ref="C14:E14"/>
    <mergeCell ref="I14:K14"/>
    <mergeCell ref="C11:E11"/>
    <mergeCell ref="I11:K11"/>
    <mergeCell ref="C6:E6"/>
    <mergeCell ref="I6:K6"/>
    <mergeCell ref="C7:E7"/>
    <mergeCell ref="I7:K7"/>
    <mergeCell ref="C8:E8"/>
    <mergeCell ref="I8:K8"/>
    <mergeCell ref="C15:E15"/>
    <mergeCell ref="I15:K15"/>
    <mergeCell ref="C3:E3"/>
    <mergeCell ref="I3:K3"/>
    <mergeCell ref="C4:E4"/>
    <mergeCell ref="I4:K4"/>
    <mergeCell ref="C5:E5"/>
    <mergeCell ref="I5:K5"/>
    <mergeCell ref="C9:E9"/>
    <mergeCell ref="I9:K9"/>
    <mergeCell ref="C10:E10"/>
    <mergeCell ref="I10:K10"/>
  </mergeCells>
  <conditionalFormatting sqref="H35 B50 H50 B66 H66 B82 H82 B93 H93 B18:B19 H18:H19 B36:B37">
    <cfRule type="cellIs" dxfId="0" priority="1" stopIfTrue="1" operator="notEqual">
      <formula>100</formula>
    </cfRule>
  </conditionalFormatting>
  <pageMargins left="0.7" right="0.7" top="0.75" bottom="0.75" header="0.3" footer="0.3"/>
  <pageSetup scale="4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7"/>
  <sheetViews>
    <sheetView workbookViewId="0">
      <selection activeCell="D2" sqref="D2:F2"/>
    </sheetView>
  </sheetViews>
  <sheetFormatPr defaultRowHeight="15"/>
  <cols>
    <col min="1" max="13" width="8.85546875" customWidth="1"/>
  </cols>
  <sheetData>
    <row r="1" spans="1:13" ht="15.75" thickBot="1">
      <c r="A1" s="674" t="s">
        <v>533</v>
      </c>
      <c r="B1" s="675"/>
      <c r="C1" s="676"/>
      <c r="D1" s="677" t="s">
        <v>534</v>
      </c>
      <c r="E1" s="675"/>
      <c r="F1" s="678"/>
      <c r="H1" s="674" t="s">
        <v>535</v>
      </c>
      <c r="I1" s="675"/>
      <c r="J1" s="676"/>
      <c r="K1" s="677" t="s">
        <v>534</v>
      </c>
      <c r="L1" s="675"/>
      <c r="M1" s="678"/>
    </row>
    <row r="2" spans="1:13" ht="15.75" thickTop="1">
      <c r="A2" s="679" t="s">
        <v>0</v>
      </c>
      <c r="B2" s="680"/>
      <c r="C2" s="681"/>
      <c r="D2" s="682">
        <f>Usevi!F27</f>
        <v>355.5773999999999</v>
      </c>
      <c r="E2" s="683"/>
      <c r="F2" s="684"/>
      <c r="H2" s="679" t="s">
        <v>278</v>
      </c>
      <c r="I2" s="680"/>
      <c r="J2" s="681"/>
      <c r="K2" s="685">
        <f>Voće!F19</f>
        <v>208.34700000000001</v>
      </c>
      <c r="L2" s="686"/>
      <c r="M2" s="687"/>
    </row>
    <row r="3" spans="1:13">
      <c r="A3" s="663" t="s">
        <v>33</v>
      </c>
      <c r="B3" s="664"/>
      <c r="C3" s="665"/>
      <c r="D3" s="666">
        <f>Usevi!F62</f>
        <v>406.36159999999995</v>
      </c>
      <c r="E3" s="667"/>
      <c r="F3" s="668"/>
      <c r="H3" s="688" t="s">
        <v>287</v>
      </c>
      <c r="I3" s="689"/>
      <c r="J3" s="690"/>
      <c r="K3" s="691">
        <f>Voće!F52</f>
        <v>935.702</v>
      </c>
      <c r="L3" s="692"/>
      <c r="M3" s="693"/>
    </row>
    <row r="4" spans="1:13">
      <c r="A4" s="663" t="s">
        <v>536</v>
      </c>
      <c r="B4" s="664"/>
      <c r="C4" s="665"/>
      <c r="D4" s="666">
        <f>Usevi!F95</f>
        <v>387.91919999999993</v>
      </c>
      <c r="E4" s="667"/>
      <c r="F4" s="668"/>
      <c r="H4" s="354" t="s">
        <v>302</v>
      </c>
      <c r="I4" s="355"/>
      <c r="J4" s="356"/>
      <c r="K4" s="671">
        <f>Voće!F81</f>
        <v>411.92119999999994</v>
      </c>
      <c r="L4" s="672"/>
      <c r="M4" s="673"/>
    </row>
    <row r="5" spans="1:13">
      <c r="A5" s="663" t="s">
        <v>38</v>
      </c>
      <c r="B5" s="664"/>
      <c r="C5" s="665"/>
      <c r="D5" s="666">
        <f>Usevi!F131</f>
        <v>408.64319999999987</v>
      </c>
      <c r="E5" s="667"/>
      <c r="F5" s="668"/>
      <c r="H5" s="354" t="s">
        <v>309</v>
      </c>
      <c r="I5" s="355"/>
      <c r="J5" s="356"/>
      <c r="K5" s="671">
        <f>Voće!F131</f>
        <v>1329.5434999999998</v>
      </c>
      <c r="L5" s="672"/>
      <c r="M5" s="673"/>
    </row>
    <row r="6" spans="1:13">
      <c r="A6" s="663" t="s">
        <v>57</v>
      </c>
      <c r="B6" s="664"/>
      <c r="C6" s="665"/>
      <c r="D6" s="666">
        <f>Usevi!F166</f>
        <v>462.66479999999984</v>
      </c>
      <c r="E6" s="667"/>
      <c r="F6" s="668"/>
      <c r="H6" s="663" t="s">
        <v>537</v>
      </c>
      <c r="I6" s="664"/>
      <c r="J6" s="665"/>
      <c r="K6" s="671">
        <f>Voće!F178</f>
        <v>1108.5368999999998</v>
      </c>
      <c r="L6" s="672"/>
      <c r="M6" s="673"/>
    </row>
    <row r="7" spans="1:13">
      <c r="A7" s="663" t="s">
        <v>60</v>
      </c>
      <c r="B7" s="664"/>
      <c r="C7" s="665"/>
      <c r="D7" s="666">
        <f>Usevi!F199</f>
        <v>318.90739999999994</v>
      </c>
      <c r="E7" s="667"/>
      <c r="F7" s="668"/>
      <c r="H7" s="663" t="s">
        <v>338</v>
      </c>
      <c r="I7" s="664"/>
      <c r="J7" s="665"/>
      <c r="K7" s="671">
        <f>Voće!F212</f>
        <v>844.91340000000014</v>
      </c>
      <c r="L7" s="672"/>
      <c r="M7" s="673"/>
    </row>
    <row r="8" spans="1:13">
      <c r="A8" s="663" t="s">
        <v>68</v>
      </c>
      <c r="B8" s="664"/>
      <c r="C8" s="665"/>
      <c r="D8" s="666">
        <f>Usevi!F236</f>
        <v>735.19549999999992</v>
      </c>
      <c r="E8" s="667"/>
      <c r="F8" s="668"/>
      <c r="H8" s="663" t="s">
        <v>350</v>
      </c>
      <c r="I8" s="664"/>
      <c r="J8" s="665"/>
      <c r="K8" s="671">
        <f>Voće!F237</f>
        <v>422.35349999999994</v>
      </c>
      <c r="L8" s="672"/>
      <c r="M8" s="673"/>
    </row>
    <row r="9" spans="1:13">
      <c r="A9" s="663" t="s">
        <v>81</v>
      </c>
      <c r="B9" s="664"/>
      <c r="C9" s="665"/>
      <c r="D9" s="666">
        <f>Usevi!F276</f>
        <v>383.50989999999996</v>
      </c>
      <c r="E9" s="667"/>
      <c r="F9" s="668"/>
      <c r="H9" s="663" t="s">
        <v>352</v>
      </c>
      <c r="I9" s="664"/>
      <c r="J9" s="665"/>
      <c r="K9" s="671">
        <f>Voće!F278</f>
        <v>1152.6194000000003</v>
      </c>
      <c r="L9" s="672"/>
      <c r="M9" s="673"/>
    </row>
    <row r="10" spans="1:13">
      <c r="A10" s="663" t="s">
        <v>90</v>
      </c>
      <c r="B10" s="664"/>
      <c r="C10" s="665"/>
      <c r="D10" s="666">
        <f>Usevi!F304</f>
        <v>323.21539999999993</v>
      </c>
      <c r="E10" s="667"/>
      <c r="F10" s="668"/>
      <c r="H10" s="663" t="s">
        <v>363</v>
      </c>
      <c r="I10" s="664"/>
      <c r="J10" s="665"/>
      <c r="K10" s="671">
        <f>Voće!F308</f>
        <v>1119.1199999999999</v>
      </c>
      <c r="L10" s="672"/>
      <c r="M10" s="673"/>
    </row>
    <row r="11" spans="1:13">
      <c r="A11" s="663" t="s">
        <v>94</v>
      </c>
      <c r="B11" s="664"/>
      <c r="C11" s="665"/>
      <c r="D11" s="666">
        <f>Usevi!F339</f>
        <v>142.74700000000001</v>
      </c>
      <c r="E11" s="667"/>
      <c r="F11" s="668"/>
      <c r="H11" s="631" t="s">
        <v>368</v>
      </c>
      <c r="I11" s="641"/>
      <c r="J11" s="641"/>
      <c r="K11" s="633">
        <f>Voće!F343</f>
        <v>802.21940000000006</v>
      </c>
      <c r="L11" s="633"/>
      <c r="M11" s="634"/>
    </row>
    <row r="12" spans="1:13">
      <c r="A12" s="663" t="s">
        <v>118</v>
      </c>
      <c r="B12" s="664"/>
      <c r="C12" s="665"/>
      <c r="D12" s="666">
        <f>Usevi!F373</f>
        <v>343.5773999999999</v>
      </c>
      <c r="E12" s="667"/>
      <c r="F12" s="668"/>
      <c r="H12" s="631" t="s">
        <v>376</v>
      </c>
      <c r="I12" s="641"/>
      <c r="J12" s="641"/>
      <c r="K12" s="633">
        <f>Voće!F369</f>
        <v>617.60160000000008</v>
      </c>
      <c r="L12" s="633"/>
      <c r="M12" s="634"/>
    </row>
    <row r="13" spans="1:13">
      <c r="A13" s="663" t="s">
        <v>120</v>
      </c>
      <c r="B13" s="664"/>
      <c r="C13" s="665"/>
      <c r="D13" s="666">
        <f>Usevi!F406</f>
        <v>343.5773999999999</v>
      </c>
      <c r="E13" s="667"/>
      <c r="F13" s="668"/>
      <c r="H13" s="631" t="s">
        <v>383</v>
      </c>
      <c r="I13" s="641"/>
      <c r="J13" s="641"/>
      <c r="K13" s="633">
        <f>Voće!F394</f>
        <v>232.1234</v>
      </c>
      <c r="L13" s="633"/>
      <c r="M13" s="634"/>
    </row>
    <row r="14" spans="1:13">
      <c r="A14" s="663" t="s">
        <v>122</v>
      </c>
      <c r="B14" s="664"/>
      <c r="C14" s="665"/>
      <c r="D14" s="666">
        <f>Usevi!F434</f>
        <v>277.92059999999998</v>
      </c>
      <c r="E14" s="667"/>
      <c r="F14" s="668"/>
      <c r="H14" s="631" t="s">
        <v>386</v>
      </c>
      <c r="I14" s="641"/>
      <c r="J14" s="641"/>
      <c r="K14" s="633">
        <f>Voće!F419</f>
        <v>232.1234</v>
      </c>
      <c r="L14" s="633"/>
      <c r="M14" s="634"/>
    </row>
    <row r="15" spans="1:13" ht="15.75" thickBot="1">
      <c r="A15" s="663" t="s">
        <v>127</v>
      </c>
      <c r="B15" s="664"/>
      <c r="C15" s="665"/>
      <c r="D15" s="666">
        <f>Usevi!F478</f>
        <v>665.20693999999992</v>
      </c>
      <c r="E15" s="667"/>
      <c r="F15" s="668"/>
      <c r="H15" s="644" t="s">
        <v>708</v>
      </c>
      <c r="I15" s="645"/>
      <c r="J15" s="645"/>
      <c r="K15" s="669">
        <f>Voće!F454</f>
        <v>545.80560000000014</v>
      </c>
      <c r="L15" s="669"/>
      <c r="M15" s="670"/>
    </row>
    <row r="16" spans="1:13" ht="15.75" thickBot="1">
      <c r="A16" s="625" t="s">
        <v>609</v>
      </c>
      <c r="B16" s="626"/>
      <c r="C16" s="627"/>
      <c r="D16" s="628">
        <f>Usevi!F501</f>
        <v>934.15680000000009</v>
      </c>
      <c r="E16" s="629"/>
      <c r="F16" s="630"/>
    </row>
    <row r="17" spans="1:13" ht="15.75" thickBot="1">
      <c r="H17" s="651" t="s">
        <v>538</v>
      </c>
      <c r="I17" s="652"/>
      <c r="J17" s="652"/>
      <c r="K17" s="652" t="s">
        <v>755</v>
      </c>
      <c r="L17" s="652"/>
      <c r="M17" s="653"/>
    </row>
    <row r="18" spans="1:13" ht="16.5" thickTop="1" thickBot="1">
      <c r="A18" s="651" t="s">
        <v>539</v>
      </c>
      <c r="B18" s="652"/>
      <c r="C18" s="652"/>
      <c r="D18" s="652" t="s">
        <v>534</v>
      </c>
      <c r="E18" s="652"/>
      <c r="F18" s="653"/>
      <c r="H18" s="637" t="s">
        <v>223</v>
      </c>
      <c r="I18" s="638"/>
      <c r="J18" s="638"/>
      <c r="K18" s="658">
        <f>Plastenici!H24</f>
        <v>0.40564990000000001</v>
      </c>
      <c r="L18" s="658"/>
      <c r="M18" s="659"/>
    </row>
    <row r="19" spans="1:13" ht="15.75" thickTop="1">
      <c r="A19" s="637" t="s">
        <v>141</v>
      </c>
      <c r="B19" s="660"/>
      <c r="C19" s="660"/>
      <c r="D19" s="661">
        <f>Povrće!F37</f>
        <v>2559.1695000000004</v>
      </c>
      <c r="E19" s="661"/>
      <c r="F19" s="662"/>
      <c r="H19" s="631" t="s">
        <v>526</v>
      </c>
      <c r="I19" s="641"/>
      <c r="J19" s="641"/>
      <c r="K19" s="654">
        <f>Plastenici!H51</f>
        <v>0.23506722968749999</v>
      </c>
      <c r="L19" s="654"/>
      <c r="M19" s="655"/>
    </row>
    <row r="20" spans="1:13">
      <c r="A20" s="631" t="s">
        <v>158</v>
      </c>
      <c r="B20" s="632"/>
      <c r="C20" s="632"/>
      <c r="D20" s="633">
        <f>Povrće!F78</f>
        <v>1137.9293000000007</v>
      </c>
      <c r="E20" s="633"/>
      <c r="F20" s="634"/>
      <c r="H20" s="631" t="s">
        <v>527</v>
      </c>
      <c r="I20" s="641"/>
      <c r="J20" s="641"/>
      <c r="K20" s="654">
        <f>Plastenici!H78</f>
        <v>0.24548421166666667</v>
      </c>
      <c r="L20" s="654"/>
      <c r="M20" s="655"/>
    </row>
    <row r="21" spans="1:13">
      <c r="A21" s="631" t="s">
        <v>167</v>
      </c>
      <c r="B21" s="632"/>
      <c r="C21" s="632"/>
      <c r="D21" s="633">
        <f>Povrće!F109</f>
        <v>1332.1603</v>
      </c>
      <c r="E21" s="633"/>
      <c r="F21" s="634"/>
      <c r="H21" s="631" t="s">
        <v>205</v>
      </c>
      <c r="I21" s="641"/>
      <c r="J21" s="641"/>
      <c r="K21" s="654">
        <f>Plastenici!H107</f>
        <v>0.49927569230769231</v>
      </c>
      <c r="L21" s="654"/>
      <c r="M21" s="655"/>
    </row>
    <row r="22" spans="1:13">
      <c r="A22" s="631" t="s">
        <v>171</v>
      </c>
      <c r="B22" s="632"/>
      <c r="C22" s="632"/>
      <c r="D22" s="633">
        <f>Povrće!F140</f>
        <v>1121.6574000000001</v>
      </c>
      <c r="E22" s="633"/>
      <c r="F22" s="634"/>
      <c r="H22" s="631" t="s">
        <v>540</v>
      </c>
      <c r="I22" s="641"/>
      <c r="J22" s="641"/>
      <c r="K22" s="654">
        <f>Plastenici!H136</f>
        <v>0.35917919999999998</v>
      </c>
      <c r="L22" s="654"/>
      <c r="M22" s="655"/>
    </row>
    <row r="23" spans="1:13">
      <c r="A23" s="631" t="s">
        <v>182</v>
      </c>
      <c r="B23" s="632"/>
      <c r="C23" s="632"/>
      <c r="D23" s="633">
        <f>Povrće!F178</f>
        <v>1531.2548000000004</v>
      </c>
      <c r="E23" s="633"/>
      <c r="F23" s="634"/>
      <c r="H23" s="631" t="s">
        <v>255</v>
      </c>
      <c r="I23" s="641"/>
      <c r="J23" s="641"/>
      <c r="K23" s="654">
        <f>Plastenici!H156</f>
        <v>5.1169569999999998E-2</v>
      </c>
      <c r="L23" s="654"/>
      <c r="M23" s="655"/>
    </row>
    <row r="24" spans="1:13">
      <c r="A24" s="631" t="s">
        <v>541</v>
      </c>
      <c r="B24" s="632"/>
      <c r="C24" s="632"/>
      <c r="D24" s="633">
        <f>Povrće!F214</f>
        <v>1737.0140000000006</v>
      </c>
      <c r="E24" s="633"/>
      <c r="F24" s="634"/>
      <c r="H24" s="631" t="s">
        <v>233</v>
      </c>
      <c r="I24" s="641"/>
      <c r="J24" s="641"/>
      <c r="K24" s="654">
        <f>Plastenici!H175</f>
        <v>6.0872106666666675E-2</v>
      </c>
      <c r="L24" s="654"/>
      <c r="M24" s="655"/>
    </row>
    <row r="25" spans="1:13" ht="15.75" thickBot="1">
      <c r="A25" s="631" t="s">
        <v>196</v>
      </c>
      <c r="B25" s="632"/>
      <c r="C25" s="632"/>
      <c r="D25" s="633">
        <f>Povrće!F265</f>
        <v>1615.6414399999999</v>
      </c>
      <c r="E25" s="633"/>
      <c r="F25" s="634"/>
      <c r="H25" s="621" t="s">
        <v>542</v>
      </c>
      <c r="I25" s="650"/>
      <c r="J25" s="650"/>
      <c r="K25" s="656">
        <f>Plastenici!H194</f>
        <v>4.433580555555555E-3</v>
      </c>
      <c r="L25" s="656"/>
      <c r="M25" s="657"/>
    </row>
    <row r="26" spans="1:13" ht="15.75" thickBot="1">
      <c r="A26" s="631" t="s">
        <v>205</v>
      </c>
      <c r="B26" s="632"/>
      <c r="C26" s="632"/>
      <c r="D26" s="633">
        <f>Povrće!F302</f>
        <v>1412.5852</v>
      </c>
      <c r="E26" s="633"/>
      <c r="F26" s="634"/>
      <c r="H26" s="357"/>
      <c r="I26" s="357"/>
      <c r="J26" s="357"/>
      <c r="K26" s="358"/>
      <c r="L26" s="358"/>
      <c r="M26" s="358"/>
    </row>
    <row r="27" spans="1:13" ht="15.75" thickBot="1">
      <c r="A27" s="631" t="s">
        <v>543</v>
      </c>
      <c r="B27" s="632"/>
      <c r="C27" s="632"/>
      <c r="D27" s="633">
        <f>Povrće!F336</f>
        <v>1034.4265</v>
      </c>
      <c r="E27" s="633"/>
      <c r="F27" s="634"/>
      <c r="H27" s="651" t="s">
        <v>544</v>
      </c>
      <c r="I27" s="652"/>
      <c r="J27" s="652"/>
      <c r="K27" s="652" t="s">
        <v>754</v>
      </c>
      <c r="L27" s="652"/>
      <c r="M27" s="653"/>
    </row>
    <row r="28" spans="1:13" ht="15.75" thickTop="1">
      <c r="A28" s="631" t="s">
        <v>223</v>
      </c>
      <c r="B28" s="632"/>
      <c r="C28" s="632"/>
      <c r="D28" s="633">
        <f>Povrće!F381</f>
        <v>1433.8679400000001</v>
      </c>
      <c r="E28" s="633"/>
      <c r="F28" s="634"/>
      <c r="H28" s="637" t="s">
        <v>545</v>
      </c>
      <c r="I28" s="638"/>
      <c r="J28" s="638"/>
      <c r="K28" s="639">
        <f>Ostalo!F12</f>
        <v>33.111600000000003</v>
      </c>
      <c r="L28" s="639"/>
      <c r="M28" s="640"/>
    </row>
    <row r="29" spans="1:13" ht="15.75" thickBot="1">
      <c r="A29" s="631" t="s">
        <v>233</v>
      </c>
      <c r="B29" s="632"/>
      <c r="C29" s="632"/>
      <c r="D29" s="633">
        <f>Povrće!F408</f>
        <v>584.53419999999994</v>
      </c>
      <c r="E29" s="633"/>
      <c r="F29" s="634"/>
      <c r="H29" s="621" t="s">
        <v>400</v>
      </c>
      <c r="I29" s="650"/>
      <c r="J29" s="650"/>
      <c r="K29" s="648">
        <f>Ostalo!F34</f>
        <v>2.7769299999999997</v>
      </c>
      <c r="L29" s="648"/>
      <c r="M29" s="649"/>
    </row>
    <row r="30" spans="1:13" ht="15.75" thickBot="1">
      <c r="A30" s="631" t="s">
        <v>236</v>
      </c>
      <c r="B30" s="632"/>
      <c r="C30" s="632"/>
      <c r="D30" s="633">
        <f>Povrće!F449</f>
        <v>1070.5498</v>
      </c>
      <c r="E30" s="633"/>
      <c r="F30" s="634"/>
    </row>
    <row r="31" spans="1:13" ht="15.75" thickBot="1">
      <c r="A31" s="631" t="s">
        <v>243</v>
      </c>
      <c r="B31" s="632"/>
      <c r="C31" s="632"/>
      <c r="D31" s="633">
        <f>Povrće!F485</f>
        <v>1043.8883000000001</v>
      </c>
      <c r="E31" s="633"/>
      <c r="F31" s="634"/>
      <c r="H31" s="651" t="s">
        <v>546</v>
      </c>
      <c r="I31" s="652"/>
      <c r="J31" s="652"/>
      <c r="K31" s="652" t="s">
        <v>534</v>
      </c>
      <c r="L31" s="652"/>
      <c r="M31" s="653"/>
    </row>
    <row r="32" spans="1:13" ht="15.75" thickTop="1">
      <c r="A32" s="631" t="s">
        <v>249</v>
      </c>
      <c r="B32" s="632"/>
      <c r="C32" s="632"/>
      <c r="D32" s="633">
        <f>Povrće!F521</f>
        <v>1273.0183000000004</v>
      </c>
      <c r="E32" s="633"/>
      <c r="F32" s="634"/>
      <c r="H32" s="637" t="s">
        <v>409</v>
      </c>
      <c r="I32" s="638"/>
      <c r="J32" s="638"/>
      <c r="K32" s="639">
        <f>'Aromatično i lekovito bilje'!F27</f>
        <v>317.3338</v>
      </c>
      <c r="L32" s="639"/>
      <c r="M32" s="640"/>
    </row>
    <row r="33" spans="1:13">
      <c r="A33" s="631" t="s">
        <v>547</v>
      </c>
      <c r="B33" s="632"/>
      <c r="C33" s="632"/>
      <c r="D33" s="633">
        <f>Povrće!F553</f>
        <v>1165.1154999999999</v>
      </c>
      <c r="E33" s="633"/>
      <c r="F33" s="634"/>
      <c r="H33" s="631" t="s">
        <v>424</v>
      </c>
      <c r="I33" s="641"/>
      <c r="J33" s="641"/>
      <c r="K33" s="642">
        <f>'Aromatično i lekovito bilje'!F65</f>
        <v>516.64239999999995</v>
      </c>
      <c r="L33" s="642"/>
      <c r="M33" s="643"/>
    </row>
    <row r="34" spans="1:13">
      <c r="A34" s="631" t="s">
        <v>255</v>
      </c>
      <c r="B34" s="632"/>
      <c r="C34" s="632"/>
      <c r="D34" s="633">
        <f>Povrće!F584</f>
        <v>1316.1238000000001</v>
      </c>
      <c r="E34" s="633"/>
      <c r="F34" s="634"/>
      <c r="H34" s="631" t="s">
        <v>444</v>
      </c>
      <c r="I34" s="641"/>
      <c r="J34" s="641"/>
      <c r="K34" s="635">
        <f>'Aromatično i lekovito bilje'!F95</f>
        <v>210.63310000000001</v>
      </c>
      <c r="L34" s="635"/>
      <c r="M34" s="636"/>
    </row>
    <row r="35" spans="1:13" ht="15.75" thickBot="1">
      <c r="A35" s="631" t="s">
        <v>263</v>
      </c>
      <c r="B35" s="632"/>
      <c r="C35" s="632"/>
      <c r="D35" s="633">
        <f>Povrće!F619</f>
        <v>969.03170000000011</v>
      </c>
      <c r="E35" s="633"/>
      <c r="F35" s="634"/>
      <c r="H35" s="644" t="s">
        <v>449</v>
      </c>
      <c r="I35" s="645"/>
      <c r="J35" s="645"/>
      <c r="K35" s="646">
        <f>'Aromatično i lekovito bilje'!F136</f>
        <v>290.14193999999998</v>
      </c>
      <c r="L35" s="646"/>
      <c r="M35" s="647"/>
    </row>
    <row r="36" spans="1:13">
      <c r="A36" s="631" t="s">
        <v>266</v>
      </c>
      <c r="B36" s="632"/>
      <c r="C36" s="632"/>
      <c r="D36" s="633">
        <f>Povrće!F654</f>
        <v>788.89670000000012</v>
      </c>
      <c r="E36" s="633"/>
      <c r="F36" s="634"/>
    </row>
    <row r="37" spans="1:13" ht="15.75" thickBot="1">
      <c r="A37" s="621" t="s">
        <v>269</v>
      </c>
      <c r="B37" s="622"/>
      <c r="C37" s="622"/>
      <c r="D37" s="623">
        <f>Povrće!F691</f>
        <v>927.9298</v>
      </c>
      <c r="E37" s="623"/>
      <c r="F37" s="624"/>
    </row>
  </sheetData>
  <mergeCells count="134">
    <mergeCell ref="A6:C6"/>
    <mergeCell ref="D6:F6"/>
    <mergeCell ref="H6:J6"/>
    <mergeCell ref="K6:M6"/>
    <mergeCell ref="A3:C3"/>
    <mergeCell ref="D3:F3"/>
    <mergeCell ref="H3:J3"/>
    <mergeCell ref="K3:M3"/>
    <mergeCell ref="A4:C4"/>
    <mergeCell ref="D4:F4"/>
    <mergeCell ref="K4:M4"/>
    <mergeCell ref="A1:C1"/>
    <mergeCell ref="D1:F1"/>
    <mergeCell ref="H1:J1"/>
    <mergeCell ref="K1:M1"/>
    <mergeCell ref="A2:C2"/>
    <mergeCell ref="D2:F2"/>
    <mergeCell ref="H2:J2"/>
    <mergeCell ref="K2:M2"/>
    <mergeCell ref="A5:C5"/>
    <mergeCell ref="D5:F5"/>
    <mergeCell ref="K5:M5"/>
    <mergeCell ref="A9:C9"/>
    <mergeCell ref="D9:F9"/>
    <mergeCell ref="H9:J9"/>
    <mergeCell ref="K9:M9"/>
    <mergeCell ref="A10:C10"/>
    <mergeCell ref="D10:F10"/>
    <mergeCell ref="H10:J10"/>
    <mergeCell ref="K10:M10"/>
    <mergeCell ref="A7:C7"/>
    <mergeCell ref="D7:F7"/>
    <mergeCell ref="H7:J7"/>
    <mergeCell ref="K7:M7"/>
    <mergeCell ref="A8:C8"/>
    <mergeCell ref="D8:F8"/>
    <mergeCell ref="H8:J8"/>
    <mergeCell ref="K8:M8"/>
    <mergeCell ref="A13:C13"/>
    <mergeCell ref="D13:F13"/>
    <mergeCell ref="H13:J13"/>
    <mergeCell ref="K13:M13"/>
    <mergeCell ref="A14:C14"/>
    <mergeCell ref="D14:F14"/>
    <mergeCell ref="H14:J14"/>
    <mergeCell ref="K14:M14"/>
    <mergeCell ref="A11:C11"/>
    <mergeCell ref="D11:F11"/>
    <mergeCell ref="H11:J11"/>
    <mergeCell ref="K11:M11"/>
    <mergeCell ref="A12:C12"/>
    <mergeCell ref="D12:F12"/>
    <mergeCell ref="H12:J12"/>
    <mergeCell ref="K12:M12"/>
    <mergeCell ref="K18:M18"/>
    <mergeCell ref="A19:C19"/>
    <mergeCell ref="D19:F19"/>
    <mergeCell ref="H19:J19"/>
    <mergeCell ref="K19:M19"/>
    <mergeCell ref="A15:C15"/>
    <mergeCell ref="D15:F15"/>
    <mergeCell ref="H17:J17"/>
    <mergeCell ref="K17:M17"/>
    <mergeCell ref="A18:C18"/>
    <mergeCell ref="D18:F18"/>
    <mergeCell ref="H18:J18"/>
    <mergeCell ref="H15:J15"/>
    <mergeCell ref="K15:M15"/>
    <mergeCell ref="K22:M22"/>
    <mergeCell ref="A23:C23"/>
    <mergeCell ref="D23:F23"/>
    <mergeCell ref="H23:J23"/>
    <mergeCell ref="K23:M23"/>
    <mergeCell ref="A20:C20"/>
    <mergeCell ref="D20:F20"/>
    <mergeCell ref="H20:J20"/>
    <mergeCell ref="K20:M20"/>
    <mergeCell ref="A21:C21"/>
    <mergeCell ref="D21:F21"/>
    <mergeCell ref="H21:J21"/>
    <mergeCell ref="K21:M21"/>
    <mergeCell ref="H22:J22"/>
    <mergeCell ref="H27:J27"/>
    <mergeCell ref="K27:M27"/>
    <mergeCell ref="A24:C24"/>
    <mergeCell ref="D24:F24"/>
    <mergeCell ref="H24:J24"/>
    <mergeCell ref="K24:M24"/>
    <mergeCell ref="A25:C25"/>
    <mergeCell ref="D25:F25"/>
    <mergeCell ref="H25:J25"/>
    <mergeCell ref="K25:M25"/>
    <mergeCell ref="K29:M29"/>
    <mergeCell ref="A31:C31"/>
    <mergeCell ref="D31:F31"/>
    <mergeCell ref="A28:C28"/>
    <mergeCell ref="D28:F28"/>
    <mergeCell ref="H28:J28"/>
    <mergeCell ref="K28:M28"/>
    <mergeCell ref="A29:C29"/>
    <mergeCell ref="D29:F29"/>
    <mergeCell ref="H29:J29"/>
    <mergeCell ref="H31:J31"/>
    <mergeCell ref="K31:M31"/>
    <mergeCell ref="K34:M34"/>
    <mergeCell ref="A35:C35"/>
    <mergeCell ref="D35:F35"/>
    <mergeCell ref="A32:C32"/>
    <mergeCell ref="D32:F32"/>
    <mergeCell ref="H32:J32"/>
    <mergeCell ref="K32:M32"/>
    <mergeCell ref="A33:C33"/>
    <mergeCell ref="D33:F33"/>
    <mergeCell ref="H33:J33"/>
    <mergeCell ref="K33:M33"/>
    <mergeCell ref="H34:J34"/>
    <mergeCell ref="H35:J35"/>
    <mergeCell ref="K35:M35"/>
    <mergeCell ref="A37:C37"/>
    <mergeCell ref="D37:F37"/>
    <mergeCell ref="A16:C16"/>
    <mergeCell ref="D16:F16"/>
    <mergeCell ref="A36:C36"/>
    <mergeCell ref="D36:F36"/>
    <mergeCell ref="A34:C34"/>
    <mergeCell ref="D34:F34"/>
    <mergeCell ref="A30:C30"/>
    <mergeCell ref="D30:F30"/>
    <mergeCell ref="A26:C26"/>
    <mergeCell ref="D26:F26"/>
    <mergeCell ref="A22:C22"/>
    <mergeCell ref="D22:F22"/>
    <mergeCell ref="A27:C27"/>
    <mergeCell ref="D27:F27"/>
  </mergeCells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Usevi</vt:lpstr>
      <vt:lpstr>Povrće</vt:lpstr>
      <vt:lpstr>Voće</vt:lpstr>
      <vt:lpstr>Plastenici</vt:lpstr>
      <vt:lpstr>Ostalo</vt:lpstr>
      <vt:lpstr>Zalihe na parceli</vt:lpstr>
      <vt:lpstr>Aromatično i lekovito bilje</vt:lpstr>
      <vt:lpstr>Stočarstvo niži nivo intenz.</vt:lpstr>
      <vt:lpstr>Stočarstvo viši nivo intenz.</vt:lpstr>
      <vt:lpstr>Priručnik</vt:lpstr>
      <vt:lpstr>'Aromatično i lekovito bilje'!Print_Area</vt:lpstr>
      <vt:lpstr>Ostalo!Print_Area</vt:lpstr>
      <vt:lpstr>Povrće!Print_Area</vt:lpstr>
      <vt:lpstr>Usevi!Print_Area</vt:lpstr>
      <vt:lpstr>'Zalihe na parceli'!Print_Area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2018-02-01T14:04:01Z</dcterms:modified>
</cp:coreProperties>
</file>